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7063\GoogleDrive\金融\app\MAX_Trading_History\"/>
    </mc:Choice>
  </mc:AlternateContent>
  <xr:revisionPtr revIDLastSave="0" documentId="13_ncr:1_{A8C1BA2C-20FE-4668-8C5C-CC5C607C34A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put_original" sheetId="1" r:id="rId1"/>
    <sheet name="Input_final" sheetId="2" r:id="rId2"/>
    <sheet name="output_original" sheetId="3" r:id="rId3"/>
    <sheet name="output_final" sheetId="4" r:id="rId4"/>
    <sheet name="Summary" sheetId="5" r:id="rId5"/>
  </sheets>
  <definedNames>
    <definedName name="_xlnm._FilterDatabase" localSheetId="1" hidden="1">Input_final!$A$1:$E$49</definedName>
    <definedName name="_xlnm._FilterDatabase" localSheetId="3" hidden="1">output_final!$A$1:$F$68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5" l="1"/>
  <c r="C2" i="5"/>
  <c r="B2" i="5"/>
  <c r="H1" i="2"/>
</calcChain>
</file>

<file path=xl/sharedStrings.xml><?xml version="1.0" encoding="utf-8"?>
<sst xmlns="http://schemas.openxmlformats.org/spreadsheetml/2006/main" count="817" uniqueCount="40">
  <si>
    <t>時間</t>
  </si>
  <si>
    <t>幣種</t>
  </si>
  <si>
    <t>來自</t>
  </si>
  <si>
    <t>數量</t>
  </si>
  <si>
    <t>狀態</t>
  </si>
  <si>
    <t>TWD</t>
  </si>
  <si>
    <t>永豐商業銀行股份有限公司 ************8682</t>
  </si>
  <si>
    <t>已完成</t>
  </si>
  <si>
    <t>USDT</t>
  </si>
  <si>
    <t>0x515b72ed8a97f42c568d6a143232775018f133c8</t>
  </si>
  <si>
    <t>台新國際商業銀行股份有限公司 ************7399</t>
  </si>
  <si>
    <t>0xa180fe01b906a1be37be6c534a3300785b20d947</t>
  </si>
  <si>
    <t>0xeb2d2f1b8c558a40207669291fda468e50c8a0bb</t>
  </si>
  <si>
    <t>TQrY8tryqsYVCYS3MFbtffiPp2ccyn4STm</t>
  </si>
  <si>
    <t>TJDENsfBJs4RFETt1X1W8wMDc8M5XnJhCe</t>
  </si>
  <si>
    <t>TWDSUM</t>
    <phoneticPr fontId="6" type="noConversion"/>
  </si>
  <si>
    <t>費用</t>
  </si>
  <si>
    <t>0xe4df35e402aa7ce17fea1b5838f1b52400a0a5d5</t>
  </si>
  <si>
    <r>
      <t>0</t>
    </r>
    <r>
      <rPr>
        <sz val="12"/>
        <color rgb="FFEBEBEB"/>
        <rFont val="Segoe UI"/>
        <family val="2"/>
      </rPr>
      <t xml:space="preserve"> MAX</t>
    </r>
  </si>
  <si>
    <t>發送給</t>
    <phoneticPr fontId="6" type="noConversion"/>
  </si>
  <si>
    <t>USDT</t>
    <phoneticPr fontId="6" type="noConversion"/>
  </si>
  <si>
    <t>0xe4df35e402aa7ce17fea1b5838f1b52400a0a5d5</t>
    <phoneticPr fontId="6" type="noConversion"/>
  </si>
  <si>
    <t>0 MAX</t>
    <phoneticPr fontId="6" type="noConversion"/>
  </si>
  <si>
    <t>已完成</t>
    <phoneticPr fontId="6" type="noConversion"/>
  </si>
  <si>
    <t>0.24754857 MAX</t>
    <phoneticPr fontId="6" type="noConversion"/>
  </si>
  <si>
    <t>TWD</t>
    <phoneticPr fontId="6" type="noConversion"/>
  </si>
  <si>
    <t>台新國際商業銀行股份有限公司 **********7399</t>
    <phoneticPr fontId="6" type="noConversion"/>
  </si>
  <si>
    <t>30 TWD</t>
    <phoneticPr fontId="6" type="noConversion"/>
  </si>
  <si>
    <t>15 TWD</t>
    <phoneticPr fontId="6" type="noConversion"/>
  </si>
  <si>
    <t>TCsCsK14wnPvcMSU8rbk9f4zcnBtEp4kGL</t>
    <phoneticPr fontId="6" type="noConversion"/>
  </si>
  <si>
    <t>0 USDT</t>
    <phoneticPr fontId="6" type="noConversion"/>
  </si>
  <si>
    <t>0xc6988841231e92edc9b06b72e1c775ff3139d992</t>
    <phoneticPr fontId="6" type="noConversion"/>
  </si>
  <si>
    <t>20 USDT</t>
    <phoneticPr fontId="6" type="noConversion"/>
  </si>
  <si>
    <r>
      <t>0</t>
    </r>
    <r>
      <rPr>
        <sz val="12"/>
        <color theme="1"/>
        <rFont val="Segoe UI"/>
        <family val="2"/>
      </rPr>
      <t xml:space="preserve"> MAX</t>
    </r>
  </si>
  <si>
    <t>Total</t>
    <phoneticPr fontId="6" type="noConversion"/>
  </si>
  <si>
    <t>Input_final</t>
    <phoneticPr fontId="6" type="noConversion"/>
  </si>
  <si>
    <t>output_final</t>
    <phoneticPr fontId="6" type="noConversion"/>
  </si>
  <si>
    <t>Binance</t>
    <phoneticPr fontId="6" type="noConversion"/>
  </si>
  <si>
    <t>Note</t>
    <phoneticPr fontId="6" type="noConversion"/>
  </si>
  <si>
    <t>exchange rate:30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</si>
</sst>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新細明體"/>
      <family val="2"/>
      <scheme val="minor"/>
    </font>
    <font>
      <sz val="9"/>
      <color rgb="FF000000"/>
      <name val="Segoe UI"/>
      <family val="2"/>
    </font>
    <font>
      <sz val="11"/>
      <color rgb="FF969696"/>
      <name val="Segoe UI"/>
      <family val="2"/>
    </font>
    <font>
      <b/>
      <sz val="13"/>
      <color rgb="FFEBEBEB"/>
      <name val="Segoe UI"/>
      <family val="2"/>
    </font>
    <font>
      <sz val="12"/>
      <color rgb="FFEBEBEB"/>
      <name val="Iosevka"/>
      <family val="2"/>
    </font>
    <font>
      <sz val="11"/>
      <color rgb="FF73A2FF"/>
      <name val="Segoe UI"/>
      <family val="2"/>
    </font>
    <font>
      <sz val="9"/>
      <name val="新細明體"/>
      <family val="3"/>
      <charset val="136"/>
      <scheme val="minor"/>
    </font>
    <font>
      <sz val="11"/>
      <color theme="1"/>
      <name val="Segoe UI"/>
      <family val="2"/>
    </font>
    <font>
      <b/>
      <sz val="13"/>
      <color theme="1"/>
      <name val="Segoe UI"/>
      <family val="2"/>
    </font>
    <font>
      <sz val="12"/>
      <color theme="1"/>
      <name val="Iosevka"/>
      <family val="2"/>
    </font>
    <font>
      <sz val="12"/>
      <color rgb="FFEBEBEB"/>
      <name val="Segoe UI"/>
      <family val="2"/>
    </font>
    <font>
      <sz val="9"/>
      <color rgb="FF000000"/>
      <name val="微軟正黑體"/>
      <family val="2"/>
      <charset val="136"/>
    </font>
    <font>
      <sz val="9"/>
      <color theme="1"/>
      <name val="Segoe UI"/>
      <family val="2"/>
    </font>
    <font>
      <sz val="9"/>
      <color theme="1"/>
      <name val="微軟正黑體"/>
      <family val="2"/>
      <charset val="136"/>
    </font>
    <font>
      <sz val="12"/>
      <color theme="1"/>
      <name val="Segoe UI"/>
      <family val="2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22" fontId="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3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22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right" vertical="center" wrapText="1"/>
    </xf>
    <xf numFmtId="0" fontId="0" fillId="0" borderId="0" xfId="0" applyFont="1"/>
    <xf numFmtId="22" fontId="7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3" fontId="15" fillId="2" borderId="0" xfId="0" applyNumberFormat="1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"/>
  <sheetViews>
    <sheetView workbookViewId="0">
      <selection activeCell="B23" sqref="B23"/>
    </sheetView>
  </sheetViews>
  <sheetFormatPr defaultColWidth="57.7109375" defaultRowHeight="15.75"/>
  <cols>
    <col min="1" max="49" width="57.7109375" style="6"/>
  </cols>
  <sheetData>
    <row r="1" spans="1:49" ht="16.5">
      <c r="A1" s="1" t="s">
        <v>0</v>
      </c>
      <c r="B1" s="2">
        <v>46205.903124999997</v>
      </c>
      <c r="C1" s="2">
        <v>46204.621759259258</v>
      </c>
      <c r="D1" s="2">
        <v>46199.002118055556</v>
      </c>
      <c r="E1" s="2">
        <v>46171.356168981481</v>
      </c>
      <c r="F1" s="2">
        <v>46139.849062499998</v>
      </c>
      <c r="G1" s="2">
        <v>46125.986168981479</v>
      </c>
      <c r="H1" s="2">
        <v>46065.915324074071</v>
      </c>
      <c r="I1" s="2">
        <v>46055.360300925924</v>
      </c>
      <c r="J1" s="2">
        <v>46054.403622685182</v>
      </c>
      <c r="K1" s="2">
        <v>46049.873020833336</v>
      </c>
      <c r="L1" s="2">
        <v>46049.872442129628</v>
      </c>
      <c r="M1" s="2">
        <v>46006.936828703707</v>
      </c>
      <c r="N1" s="2">
        <v>46000.957673611112</v>
      </c>
      <c r="O1" s="2">
        <v>45932.516608796293</v>
      </c>
      <c r="P1" s="2">
        <v>45805.910543981481</v>
      </c>
      <c r="Q1" s="2">
        <v>45783.389398148145</v>
      </c>
      <c r="R1" s="2">
        <v>45733.317488425928</v>
      </c>
      <c r="S1" s="2">
        <v>45671.009340277778</v>
      </c>
      <c r="T1" s="2">
        <v>45645.897361111114</v>
      </c>
      <c r="U1" s="2">
        <v>45645.895567129628</v>
      </c>
      <c r="V1" s="2">
        <v>45631.550717592596</v>
      </c>
      <c r="W1" s="2">
        <v>45631.550451388888</v>
      </c>
      <c r="X1" s="2">
        <v>45604.50849537037</v>
      </c>
      <c r="Y1" s="2">
        <v>45597.337835648148</v>
      </c>
      <c r="Z1" s="2">
        <v>45590.561539351853</v>
      </c>
      <c r="AA1" s="2">
        <v>45588.890462962961</v>
      </c>
      <c r="AB1" s="2">
        <v>45588.539548611108</v>
      </c>
      <c r="AC1" s="2">
        <v>45397.419374999998</v>
      </c>
      <c r="AD1" s="2">
        <v>45397.416412037041</v>
      </c>
      <c r="AE1" s="2">
        <v>44884.841736111113</v>
      </c>
      <c r="AF1" s="2">
        <v>44884.743032407408</v>
      </c>
      <c r="AG1" s="2">
        <v>44823.963252314818</v>
      </c>
      <c r="AH1" s="2">
        <v>44823.954733796294</v>
      </c>
      <c r="AI1" s="2">
        <v>44547.553402777776</v>
      </c>
      <c r="AJ1" s="2">
        <v>44489.981273148151</v>
      </c>
      <c r="AK1" s="2">
        <v>44487.594942129632</v>
      </c>
      <c r="AL1" s="2">
        <v>44480.628842592596</v>
      </c>
      <c r="AM1" s="2">
        <v>44441.358599537038</v>
      </c>
      <c r="AN1" s="2">
        <v>44429.417060185187</v>
      </c>
      <c r="AO1" s="2">
        <v>44408.413854166669</v>
      </c>
      <c r="AP1" s="2">
        <v>44364.313368055555</v>
      </c>
      <c r="AQ1" s="2">
        <v>44364.310555555552</v>
      </c>
      <c r="AR1" s="2">
        <v>44361.961018518516</v>
      </c>
      <c r="AS1" s="2">
        <v>44360.7890162037</v>
      </c>
      <c r="AT1" s="2">
        <v>44321.9999537037</v>
      </c>
      <c r="AU1" s="2">
        <v>44314.020254629628</v>
      </c>
      <c r="AV1" s="2">
        <v>44310.636319444442</v>
      </c>
      <c r="AW1" s="2">
        <v>44300.614745370367</v>
      </c>
    </row>
    <row r="2" spans="1:49" ht="18.75">
      <c r="A2" s="1" t="s">
        <v>1</v>
      </c>
      <c r="B2" s="3" t="s">
        <v>5</v>
      </c>
      <c r="C2" s="3" t="s">
        <v>5</v>
      </c>
      <c r="D2" s="3" t="s">
        <v>5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8</v>
      </c>
      <c r="Q2" s="3" t="s">
        <v>5</v>
      </c>
      <c r="R2" s="3" t="s">
        <v>8</v>
      </c>
      <c r="S2" s="3" t="s">
        <v>8</v>
      </c>
      <c r="T2" s="3" t="s">
        <v>8</v>
      </c>
      <c r="U2" s="3" t="s">
        <v>8</v>
      </c>
      <c r="V2" s="3" t="s">
        <v>5</v>
      </c>
      <c r="W2" s="3" t="s">
        <v>5</v>
      </c>
      <c r="X2" s="3" t="s">
        <v>5</v>
      </c>
      <c r="Y2" s="3" t="s">
        <v>5</v>
      </c>
      <c r="Z2" s="3" t="s">
        <v>5</v>
      </c>
      <c r="AA2" s="3" t="s">
        <v>5</v>
      </c>
      <c r="AB2" s="3" t="s">
        <v>5</v>
      </c>
      <c r="AC2" s="3" t="s">
        <v>8</v>
      </c>
      <c r="AD2" s="3" t="s">
        <v>8</v>
      </c>
      <c r="AE2" s="3" t="s">
        <v>8</v>
      </c>
      <c r="AF2" s="3" t="s">
        <v>8</v>
      </c>
      <c r="AG2" s="3" t="s">
        <v>8</v>
      </c>
      <c r="AH2" s="3" t="s">
        <v>8</v>
      </c>
      <c r="AI2" s="3" t="s">
        <v>5</v>
      </c>
      <c r="AJ2" s="3" t="s">
        <v>5</v>
      </c>
      <c r="AK2" s="3" t="s">
        <v>5</v>
      </c>
      <c r="AL2" s="3" t="s">
        <v>5</v>
      </c>
      <c r="AM2" s="3" t="s">
        <v>5</v>
      </c>
      <c r="AN2" s="3" t="s">
        <v>5</v>
      </c>
      <c r="AO2" s="3" t="s">
        <v>5</v>
      </c>
      <c r="AP2" s="3" t="s">
        <v>5</v>
      </c>
      <c r="AQ2" s="3" t="s">
        <v>5</v>
      </c>
      <c r="AR2" s="3" t="s">
        <v>5</v>
      </c>
      <c r="AS2" s="3" t="s">
        <v>5</v>
      </c>
      <c r="AT2" s="3" t="s">
        <v>5</v>
      </c>
      <c r="AU2" s="3" t="s">
        <v>5</v>
      </c>
      <c r="AV2" s="3" t="s">
        <v>5</v>
      </c>
      <c r="AW2" s="3" t="s">
        <v>5</v>
      </c>
    </row>
    <row r="3" spans="1:49" ht="16.5">
      <c r="A3" s="1" t="s">
        <v>2</v>
      </c>
      <c r="B3" s="4" t="s">
        <v>6</v>
      </c>
      <c r="C3" s="4" t="s">
        <v>6</v>
      </c>
      <c r="D3" s="4" t="s">
        <v>6</v>
      </c>
      <c r="E3" s="4" t="s">
        <v>6</v>
      </c>
      <c r="F3" s="4" t="s">
        <v>6</v>
      </c>
      <c r="G3" s="4" t="s">
        <v>6</v>
      </c>
      <c r="H3" s="4" t="s">
        <v>6</v>
      </c>
      <c r="I3" s="4" t="s">
        <v>6</v>
      </c>
      <c r="J3" s="4" t="s">
        <v>6</v>
      </c>
      <c r="K3" s="4" t="s">
        <v>6</v>
      </c>
      <c r="L3" s="4" t="s">
        <v>6</v>
      </c>
      <c r="M3" s="4" t="s">
        <v>6</v>
      </c>
      <c r="N3" s="4" t="s">
        <v>6</v>
      </c>
      <c r="O3" s="4" t="s">
        <v>6</v>
      </c>
      <c r="P3" s="7" t="s">
        <v>9</v>
      </c>
      <c r="Q3" s="4" t="s">
        <v>10</v>
      </c>
      <c r="R3" s="7" t="s">
        <v>11</v>
      </c>
      <c r="S3" s="7" t="s">
        <v>11</v>
      </c>
      <c r="T3" s="7" t="s">
        <v>12</v>
      </c>
      <c r="U3" s="7" t="s">
        <v>9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7" t="s">
        <v>13</v>
      </c>
      <c r="AD3" s="7" t="s">
        <v>14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>
      <c r="A4" s="1" t="s">
        <v>3</v>
      </c>
      <c r="B4" s="5">
        <v>50000</v>
      </c>
      <c r="C4" s="5">
        <v>50000</v>
      </c>
      <c r="D4" s="5">
        <v>50000</v>
      </c>
      <c r="E4" s="5">
        <v>50000</v>
      </c>
      <c r="F4" s="5">
        <v>50000</v>
      </c>
      <c r="G4" s="5">
        <v>50000</v>
      </c>
      <c r="H4" s="5">
        <v>50000</v>
      </c>
      <c r="I4" s="5">
        <v>50000</v>
      </c>
      <c r="J4" s="5">
        <v>50000</v>
      </c>
      <c r="K4" s="5">
        <v>50000</v>
      </c>
      <c r="L4" s="5">
        <v>50000</v>
      </c>
      <c r="M4" s="5">
        <v>30000</v>
      </c>
      <c r="N4" s="5">
        <v>50000</v>
      </c>
      <c r="O4" s="5">
        <v>50000</v>
      </c>
      <c r="P4" s="5">
        <v>3000</v>
      </c>
      <c r="Q4" s="5">
        <v>50000</v>
      </c>
      <c r="R4" s="5">
        <v>2000</v>
      </c>
      <c r="S4" s="5">
        <v>1000</v>
      </c>
      <c r="T4" s="5">
        <v>3300</v>
      </c>
      <c r="U4" s="8">
        <v>45</v>
      </c>
      <c r="V4" s="5">
        <v>50000</v>
      </c>
      <c r="W4" s="5">
        <v>50000</v>
      </c>
      <c r="X4" s="5">
        <v>50000</v>
      </c>
      <c r="Y4" s="5">
        <v>50000</v>
      </c>
      <c r="Z4" s="5">
        <v>50000</v>
      </c>
      <c r="AA4" s="5">
        <v>50000</v>
      </c>
      <c r="AB4" s="5">
        <v>50000</v>
      </c>
      <c r="AC4" s="9">
        <v>7698.8</v>
      </c>
      <c r="AD4" s="8">
        <v>998.8</v>
      </c>
      <c r="AE4" s="8">
        <v>1E-3</v>
      </c>
      <c r="AF4" s="5">
        <v>2000</v>
      </c>
      <c r="AG4" s="9">
        <v>1999.2</v>
      </c>
      <c r="AH4" s="8">
        <v>9.1999999999999993</v>
      </c>
      <c r="AI4" s="5">
        <v>50000</v>
      </c>
      <c r="AJ4" s="5">
        <v>50000</v>
      </c>
      <c r="AK4" s="5">
        <v>50000</v>
      </c>
      <c r="AL4" s="5">
        <v>50000</v>
      </c>
      <c r="AM4" s="5">
        <v>20000</v>
      </c>
      <c r="AN4" s="5">
        <v>50000</v>
      </c>
      <c r="AO4" s="5">
        <v>50000</v>
      </c>
      <c r="AP4" s="5">
        <v>50000</v>
      </c>
      <c r="AQ4" s="5">
        <v>30000</v>
      </c>
      <c r="AR4" s="5">
        <v>30000</v>
      </c>
      <c r="AS4" s="5">
        <v>20000</v>
      </c>
      <c r="AT4" s="5">
        <v>20000</v>
      </c>
      <c r="AU4" s="5">
        <v>30000</v>
      </c>
      <c r="AV4" s="5">
        <v>30000</v>
      </c>
      <c r="AW4" s="5">
        <v>20000</v>
      </c>
    </row>
    <row r="5" spans="1:49" ht="16.5">
      <c r="A5" s="1" t="s">
        <v>4</v>
      </c>
      <c r="B5" s="4" t="s">
        <v>7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7</v>
      </c>
      <c r="N5" s="4" t="s">
        <v>7</v>
      </c>
      <c r="O5" s="4" t="s">
        <v>7</v>
      </c>
      <c r="P5" s="4" t="s">
        <v>7</v>
      </c>
      <c r="Q5" s="4" t="s">
        <v>7</v>
      </c>
      <c r="R5" s="4" t="s">
        <v>7</v>
      </c>
      <c r="S5" s="4" t="s">
        <v>7</v>
      </c>
      <c r="T5" s="4" t="s">
        <v>7</v>
      </c>
      <c r="U5" s="4" t="s">
        <v>7</v>
      </c>
      <c r="V5" s="4" t="s">
        <v>7</v>
      </c>
      <c r="W5" s="4" t="s">
        <v>7</v>
      </c>
      <c r="X5" s="4" t="s">
        <v>7</v>
      </c>
      <c r="Y5" s="4" t="s">
        <v>7</v>
      </c>
      <c r="Z5" s="4" t="s">
        <v>7</v>
      </c>
      <c r="AA5" s="4" t="s">
        <v>7</v>
      </c>
      <c r="AB5" s="4" t="s">
        <v>7</v>
      </c>
      <c r="AC5" s="4" t="s">
        <v>7</v>
      </c>
      <c r="AD5" s="4" t="s">
        <v>7</v>
      </c>
      <c r="AE5" s="4" t="s">
        <v>7</v>
      </c>
      <c r="AF5" s="4" t="s">
        <v>7</v>
      </c>
      <c r="AG5" s="4" t="s">
        <v>7</v>
      </c>
      <c r="AH5" s="4" t="s">
        <v>7</v>
      </c>
      <c r="AI5" s="4" t="s">
        <v>7</v>
      </c>
      <c r="AJ5" s="4" t="s">
        <v>7</v>
      </c>
      <c r="AK5" s="4" t="s">
        <v>7</v>
      </c>
      <c r="AL5" s="4" t="s">
        <v>7</v>
      </c>
      <c r="AM5" s="4" t="s">
        <v>7</v>
      </c>
      <c r="AN5" s="4" t="s">
        <v>7</v>
      </c>
      <c r="AO5" s="4" t="s">
        <v>7</v>
      </c>
      <c r="AP5" s="4" t="s">
        <v>7</v>
      </c>
      <c r="AQ5" s="4" t="s">
        <v>7</v>
      </c>
      <c r="AR5" s="4" t="s">
        <v>7</v>
      </c>
      <c r="AS5" s="4" t="s">
        <v>7</v>
      </c>
      <c r="AT5" s="4" t="s">
        <v>7</v>
      </c>
      <c r="AU5" s="4" t="s">
        <v>7</v>
      </c>
      <c r="AV5" s="4" t="s">
        <v>7</v>
      </c>
      <c r="AW5" s="4" t="s">
        <v>7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D323-08DA-44AB-84F2-0CFE5EC4A4AD}">
  <sheetPr filterMode="1"/>
  <dimension ref="A1:H49"/>
  <sheetViews>
    <sheetView workbookViewId="0">
      <selection activeCell="H24" sqref="H24"/>
    </sheetView>
  </sheetViews>
  <sheetFormatPr defaultRowHeight="15.75"/>
  <cols>
    <col min="1" max="1" width="19.140625" bestFit="1" customWidth="1"/>
    <col min="2" max="2" width="8.42578125" bestFit="1" customWidth="1"/>
    <col min="3" max="3" width="69.85546875" customWidth="1"/>
    <col min="4" max="4" width="10.85546875" bestFit="1" customWidth="1"/>
    <col min="5" max="5" width="8.140625" bestFit="1" customWidth="1"/>
    <col min="8" max="8" width="9.85546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15</v>
      </c>
      <c r="H1" s="16">
        <f>1630000</f>
        <v>1630000</v>
      </c>
    </row>
    <row r="2" spans="1:8" ht="18.75">
      <c r="A2" s="10">
        <v>46205.903124999997</v>
      </c>
      <c r="B2" s="11" t="s">
        <v>5</v>
      </c>
      <c r="C2" s="12" t="s">
        <v>6</v>
      </c>
      <c r="D2" s="13">
        <v>50000</v>
      </c>
      <c r="E2" s="12" t="s">
        <v>7</v>
      </c>
    </row>
    <row r="3" spans="1:8" ht="18.75">
      <c r="A3" s="10">
        <v>46204.621759259258</v>
      </c>
      <c r="B3" s="11" t="s">
        <v>5</v>
      </c>
      <c r="C3" s="12" t="s">
        <v>6</v>
      </c>
      <c r="D3" s="13">
        <v>50000</v>
      </c>
      <c r="E3" s="12" t="s">
        <v>7</v>
      </c>
    </row>
    <row r="4" spans="1:8" ht="18.75">
      <c r="A4" s="10">
        <v>46199.002118055556</v>
      </c>
      <c r="B4" s="11" t="s">
        <v>5</v>
      </c>
      <c r="C4" s="12" t="s">
        <v>6</v>
      </c>
      <c r="D4" s="13">
        <v>50000</v>
      </c>
      <c r="E4" s="12" t="s">
        <v>7</v>
      </c>
    </row>
    <row r="5" spans="1:8" ht="18.75">
      <c r="A5" s="10">
        <v>46171.356168981481</v>
      </c>
      <c r="B5" s="11" t="s">
        <v>5</v>
      </c>
      <c r="C5" s="12" t="s">
        <v>6</v>
      </c>
      <c r="D5" s="13">
        <v>50000</v>
      </c>
      <c r="E5" s="12" t="s">
        <v>7</v>
      </c>
    </row>
    <row r="6" spans="1:8" ht="18.75">
      <c r="A6" s="10">
        <v>46139.849062499998</v>
      </c>
      <c r="B6" s="11" t="s">
        <v>5</v>
      </c>
      <c r="C6" s="12" t="s">
        <v>6</v>
      </c>
      <c r="D6" s="13">
        <v>50000</v>
      </c>
      <c r="E6" s="12" t="s">
        <v>7</v>
      </c>
    </row>
    <row r="7" spans="1:8" ht="18.75">
      <c r="A7" s="10">
        <v>46125.986168981479</v>
      </c>
      <c r="B7" s="11" t="s">
        <v>5</v>
      </c>
      <c r="C7" s="12" t="s">
        <v>6</v>
      </c>
      <c r="D7" s="13">
        <v>50000</v>
      </c>
      <c r="E7" s="12" t="s">
        <v>7</v>
      </c>
    </row>
    <row r="8" spans="1:8" ht="18.75">
      <c r="A8" s="10">
        <v>46065.915324074071</v>
      </c>
      <c r="B8" s="11" t="s">
        <v>5</v>
      </c>
      <c r="C8" s="12" t="s">
        <v>6</v>
      </c>
      <c r="D8" s="13">
        <v>50000</v>
      </c>
      <c r="E8" s="12" t="s">
        <v>7</v>
      </c>
    </row>
    <row r="9" spans="1:8" ht="18.75">
      <c r="A9" s="10">
        <v>46055.360300925924</v>
      </c>
      <c r="B9" s="11" t="s">
        <v>5</v>
      </c>
      <c r="C9" s="12" t="s">
        <v>6</v>
      </c>
      <c r="D9" s="13">
        <v>50000</v>
      </c>
      <c r="E9" s="12" t="s">
        <v>7</v>
      </c>
    </row>
    <row r="10" spans="1:8" ht="18.75">
      <c r="A10" s="10">
        <v>46054.403622685182</v>
      </c>
      <c r="B10" s="11" t="s">
        <v>5</v>
      </c>
      <c r="C10" s="12" t="s">
        <v>6</v>
      </c>
      <c r="D10" s="13">
        <v>50000</v>
      </c>
      <c r="E10" s="12" t="s">
        <v>7</v>
      </c>
    </row>
    <row r="11" spans="1:8" ht="18.75">
      <c r="A11" s="10">
        <v>46049.873020833336</v>
      </c>
      <c r="B11" s="11" t="s">
        <v>5</v>
      </c>
      <c r="C11" s="12" t="s">
        <v>6</v>
      </c>
      <c r="D11" s="13">
        <v>50000</v>
      </c>
      <c r="E11" s="12" t="s">
        <v>7</v>
      </c>
    </row>
    <row r="12" spans="1:8" ht="18.75">
      <c r="A12" s="10">
        <v>46049.872442129628</v>
      </c>
      <c r="B12" s="11" t="s">
        <v>5</v>
      </c>
      <c r="C12" s="12" t="s">
        <v>6</v>
      </c>
      <c r="D12" s="13">
        <v>50000</v>
      </c>
      <c r="E12" s="12" t="s">
        <v>7</v>
      </c>
    </row>
    <row r="13" spans="1:8" ht="18.75">
      <c r="A13" s="10">
        <v>46006.936828703707</v>
      </c>
      <c r="B13" s="11" t="s">
        <v>5</v>
      </c>
      <c r="C13" s="12" t="s">
        <v>6</v>
      </c>
      <c r="D13" s="13">
        <v>30000</v>
      </c>
      <c r="E13" s="12" t="s">
        <v>7</v>
      </c>
    </row>
    <row r="14" spans="1:8" ht="18.75">
      <c r="A14" s="10">
        <v>46000.957673611112</v>
      </c>
      <c r="B14" s="11" t="s">
        <v>5</v>
      </c>
      <c r="C14" s="12" t="s">
        <v>6</v>
      </c>
      <c r="D14" s="13">
        <v>50000</v>
      </c>
      <c r="E14" s="12" t="s">
        <v>7</v>
      </c>
    </row>
    <row r="15" spans="1:8" ht="18.75">
      <c r="A15" s="10">
        <v>45932.516608796293</v>
      </c>
      <c r="B15" s="11" t="s">
        <v>5</v>
      </c>
      <c r="C15" s="12" t="s">
        <v>6</v>
      </c>
      <c r="D15" s="13">
        <v>50000</v>
      </c>
      <c r="E15" s="12" t="s">
        <v>7</v>
      </c>
    </row>
    <row r="16" spans="1:8" ht="18.75" hidden="1">
      <c r="A16" s="10">
        <v>45805.910543981481</v>
      </c>
      <c r="B16" s="11" t="s">
        <v>8</v>
      </c>
      <c r="C16" s="12" t="s">
        <v>9</v>
      </c>
      <c r="D16" s="13">
        <v>3000</v>
      </c>
      <c r="E16" s="12" t="s">
        <v>7</v>
      </c>
    </row>
    <row r="17" spans="1:5" ht="18.75">
      <c r="A17" s="10">
        <v>45783.389398148145</v>
      </c>
      <c r="B17" s="11" t="s">
        <v>5</v>
      </c>
      <c r="C17" s="12" t="s">
        <v>10</v>
      </c>
      <c r="D17" s="13">
        <v>50000</v>
      </c>
      <c r="E17" s="12" t="s">
        <v>7</v>
      </c>
    </row>
    <row r="18" spans="1:5" ht="18.75" hidden="1">
      <c r="A18" s="10">
        <v>45733.317488425928</v>
      </c>
      <c r="B18" s="11" t="s">
        <v>8</v>
      </c>
      <c r="C18" s="12" t="s">
        <v>11</v>
      </c>
      <c r="D18" s="13">
        <v>2000</v>
      </c>
      <c r="E18" s="12" t="s">
        <v>7</v>
      </c>
    </row>
    <row r="19" spans="1:5" ht="18.75" hidden="1">
      <c r="A19" s="10">
        <v>45671.009340277778</v>
      </c>
      <c r="B19" s="11" t="s">
        <v>8</v>
      </c>
      <c r="C19" s="12" t="s">
        <v>11</v>
      </c>
      <c r="D19" s="13">
        <v>1000</v>
      </c>
      <c r="E19" s="12" t="s">
        <v>7</v>
      </c>
    </row>
    <row r="20" spans="1:5" ht="18.75" hidden="1">
      <c r="A20" s="10">
        <v>45645.897361111114</v>
      </c>
      <c r="B20" s="11" t="s">
        <v>8</v>
      </c>
      <c r="C20" s="12" t="s">
        <v>12</v>
      </c>
      <c r="D20" s="13">
        <v>3300</v>
      </c>
      <c r="E20" s="12" t="s">
        <v>7</v>
      </c>
    </row>
    <row r="21" spans="1:5" ht="18.75" hidden="1">
      <c r="A21" s="10">
        <v>45645.895567129628</v>
      </c>
      <c r="B21" s="11" t="s">
        <v>8</v>
      </c>
      <c r="C21" s="12" t="s">
        <v>9</v>
      </c>
      <c r="D21" s="14">
        <v>45</v>
      </c>
      <c r="E21" s="12" t="s">
        <v>7</v>
      </c>
    </row>
    <row r="22" spans="1:5" ht="18.75">
      <c r="A22" s="10">
        <v>45631.550717592596</v>
      </c>
      <c r="B22" s="11" t="s">
        <v>5</v>
      </c>
      <c r="C22" s="12" t="s">
        <v>10</v>
      </c>
      <c r="D22" s="13">
        <v>50000</v>
      </c>
      <c r="E22" s="12" t="s">
        <v>7</v>
      </c>
    </row>
    <row r="23" spans="1:5" ht="18.75">
      <c r="A23" s="10">
        <v>45631.550451388888</v>
      </c>
      <c r="B23" s="11" t="s">
        <v>5</v>
      </c>
      <c r="C23" s="12" t="s">
        <v>10</v>
      </c>
      <c r="D23" s="13">
        <v>50000</v>
      </c>
      <c r="E23" s="12" t="s">
        <v>7</v>
      </c>
    </row>
    <row r="24" spans="1:5" ht="18.75">
      <c r="A24" s="10">
        <v>45604.50849537037</v>
      </c>
      <c r="B24" s="11" t="s">
        <v>5</v>
      </c>
      <c r="C24" s="12" t="s">
        <v>10</v>
      </c>
      <c r="D24" s="13">
        <v>50000</v>
      </c>
      <c r="E24" s="12" t="s">
        <v>7</v>
      </c>
    </row>
    <row r="25" spans="1:5" ht="18.75">
      <c r="A25" s="10">
        <v>45597.337835648148</v>
      </c>
      <c r="B25" s="11" t="s">
        <v>5</v>
      </c>
      <c r="C25" s="12" t="s">
        <v>10</v>
      </c>
      <c r="D25" s="13">
        <v>50000</v>
      </c>
      <c r="E25" s="12" t="s">
        <v>7</v>
      </c>
    </row>
    <row r="26" spans="1:5" ht="18.75">
      <c r="A26" s="10">
        <v>45590.561539351853</v>
      </c>
      <c r="B26" s="11" t="s">
        <v>5</v>
      </c>
      <c r="C26" s="12" t="s">
        <v>10</v>
      </c>
      <c r="D26" s="13">
        <v>50000</v>
      </c>
      <c r="E26" s="12" t="s">
        <v>7</v>
      </c>
    </row>
    <row r="27" spans="1:5" ht="18.75">
      <c r="A27" s="10">
        <v>45588.890462962961</v>
      </c>
      <c r="B27" s="11" t="s">
        <v>5</v>
      </c>
      <c r="C27" s="12" t="s">
        <v>10</v>
      </c>
      <c r="D27" s="13">
        <v>50000</v>
      </c>
      <c r="E27" s="12" t="s">
        <v>7</v>
      </c>
    </row>
    <row r="28" spans="1:5" ht="18.75">
      <c r="A28" s="10">
        <v>45588.539548611108</v>
      </c>
      <c r="B28" s="11" t="s">
        <v>5</v>
      </c>
      <c r="C28" s="12" t="s">
        <v>10</v>
      </c>
      <c r="D28" s="13">
        <v>50000</v>
      </c>
      <c r="E28" s="12" t="s">
        <v>7</v>
      </c>
    </row>
    <row r="29" spans="1:5" ht="18.75" hidden="1">
      <c r="A29" s="10">
        <v>45397.419374999998</v>
      </c>
      <c r="B29" s="11" t="s">
        <v>8</v>
      </c>
      <c r="C29" s="12" t="s">
        <v>13</v>
      </c>
      <c r="D29" s="15">
        <v>7698.8</v>
      </c>
      <c r="E29" s="12" t="s">
        <v>7</v>
      </c>
    </row>
    <row r="30" spans="1:5" ht="18.75" hidden="1">
      <c r="A30" s="10">
        <v>45397.416412037041</v>
      </c>
      <c r="B30" s="11" t="s">
        <v>8</v>
      </c>
      <c r="C30" s="12" t="s">
        <v>14</v>
      </c>
      <c r="D30" s="14">
        <v>998.8</v>
      </c>
      <c r="E30" s="12" t="s">
        <v>7</v>
      </c>
    </row>
    <row r="31" spans="1:5" ht="18.75" hidden="1">
      <c r="A31" s="10">
        <v>44884.841736111113</v>
      </c>
      <c r="B31" s="11" t="s">
        <v>8</v>
      </c>
      <c r="C31" s="12"/>
      <c r="D31" s="14">
        <v>1E-3</v>
      </c>
      <c r="E31" s="12" t="s">
        <v>7</v>
      </c>
    </row>
    <row r="32" spans="1:5" ht="18.75" hidden="1">
      <c r="A32" s="10">
        <v>44884.743032407408</v>
      </c>
      <c r="B32" s="11" t="s">
        <v>8</v>
      </c>
      <c r="C32" s="12"/>
      <c r="D32" s="13">
        <v>2000</v>
      </c>
      <c r="E32" s="12" t="s">
        <v>7</v>
      </c>
    </row>
    <row r="33" spans="1:5" ht="18.75" hidden="1">
      <c r="A33" s="10">
        <v>44823.963252314818</v>
      </c>
      <c r="B33" s="11" t="s">
        <v>8</v>
      </c>
      <c r="C33" s="12"/>
      <c r="D33" s="15">
        <v>1999.2</v>
      </c>
      <c r="E33" s="12" t="s">
        <v>7</v>
      </c>
    </row>
    <row r="34" spans="1:5" ht="18.75" hidden="1">
      <c r="A34" s="10">
        <v>44823.954733796294</v>
      </c>
      <c r="B34" s="11" t="s">
        <v>8</v>
      </c>
      <c r="C34" s="12"/>
      <c r="D34" s="14">
        <v>9.1999999999999993</v>
      </c>
      <c r="E34" s="12" t="s">
        <v>7</v>
      </c>
    </row>
    <row r="35" spans="1:5" ht="18.75">
      <c r="A35" s="10">
        <v>44547.553402777776</v>
      </c>
      <c r="B35" s="11" t="s">
        <v>5</v>
      </c>
      <c r="C35" s="12"/>
      <c r="D35" s="13">
        <v>50000</v>
      </c>
      <c r="E35" s="12" t="s">
        <v>7</v>
      </c>
    </row>
    <row r="36" spans="1:5" ht="18.75">
      <c r="A36" s="10">
        <v>44489.981273148151</v>
      </c>
      <c r="B36" s="11" t="s">
        <v>5</v>
      </c>
      <c r="C36" s="12"/>
      <c r="D36" s="13">
        <v>50000</v>
      </c>
      <c r="E36" s="12" t="s">
        <v>7</v>
      </c>
    </row>
    <row r="37" spans="1:5" ht="18.75">
      <c r="A37" s="10">
        <v>44487.594942129632</v>
      </c>
      <c r="B37" s="11" t="s">
        <v>5</v>
      </c>
      <c r="C37" s="12"/>
      <c r="D37" s="13">
        <v>50000</v>
      </c>
      <c r="E37" s="12" t="s">
        <v>7</v>
      </c>
    </row>
    <row r="38" spans="1:5" ht="18.75">
      <c r="A38" s="10">
        <v>44480.628842592596</v>
      </c>
      <c r="B38" s="11" t="s">
        <v>5</v>
      </c>
      <c r="C38" s="12"/>
      <c r="D38" s="13">
        <v>50000</v>
      </c>
      <c r="E38" s="12" t="s">
        <v>7</v>
      </c>
    </row>
    <row r="39" spans="1:5" ht="18.75">
      <c r="A39" s="10">
        <v>44441.358599537038</v>
      </c>
      <c r="B39" s="11" t="s">
        <v>5</v>
      </c>
      <c r="C39" s="12"/>
      <c r="D39" s="13">
        <v>20000</v>
      </c>
      <c r="E39" s="12" t="s">
        <v>7</v>
      </c>
    </row>
    <row r="40" spans="1:5" ht="18.75">
      <c r="A40" s="10">
        <v>44429.417060185187</v>
      </c>
      <c r="B40" s="11" t="s">
        <v>5</v>
      </c>
      <c r="C40" s="12"/>
      <c r="D40" s="13">
        <v>50000</v>
      </c>
      <c r="E40" s="12" t="s">
        <v>7</v>
      </c>
    </row>
    <row r="41" spans="1:5" ht="18.75">
      <c r="A41" s="10">
        <v>44408.413854166669</v>
      </c>
      <c r="B41" s="11" t="s">
        <v>5</v>
      </c>
      <c r="C41" s="12"/>
      <c r="D41" s="13">
        <v>50000</v>
      </c>
      <c r="E41" s="12" t="s">
        <v>7</v>
      </c>
    </row>
    <row r="42" spans="1:5" ht="18.75">
      <c r="A42" s="10">
        <v>44364.313368055555</v>
      </c>
      <c r="B42" s="11" t="s">
        <v>5</v>
      </c>
      <c r="C42" s="12"/>
      <c r="D42" s="13">
        <v>50000</v>
      </c>
      <c r="E42" s="12" t="s">
        <v>7</v>
      </c>
    </row>
    <row r="43" spans="1:5" ht="18.75">
      <c r="A43" s="10">
        <v>44364.310555555552</v>
      </c>
      <c r="B43" s="11" t="s">
        <v>5</v>
      </c>
      <c r="C43" s="12"/>
      <c r="D43" s="13">
        <v>30000</v>
      </c>
      <c r="E43" s="12" t="s">
        <v>7</v>
      </c>
    </row>
    <row r="44" spans="1:5" ht="18.75">
      <c r="A44" s="10">
        <v>44361.961018518516</v>
      </c>
      <c r="B44" s="11" t="s">
        <v>5</v>
      </c>
      <c r="C44" s="12"/>
      <c r="D44" s="13">
        <v>30000</v>
      </c>
      <c r="E44" s="12" t="s">
        <v>7</v>
      </c>
    </row>
    <row r="45" spans="1:5" ht="18.75">
      <c r="A45" s="10">
        <v>44360.7890162037</v>
      </c>
      <c r="B45" s="11" t="s">
        <v>5</v>
      </c>
      <c r="C45" s="12"/>
      <c r="D45" s="13">
        <v>20000</v>
      </c>
      <c r="E45" s="12" t="s">
        <v>7</v>
      </c>
    </row>
    <row r="46" spans="1:5" ht="18.75">
      <c r="A46" s="10">
        <v>44321.9999537037</v>
      </c>
      <c r="B46" s="11" t="s">
        <v>5</v>
      </c>
      <c r="C46" s="12"/>
      <c r="D46" s="13">
        <v>20000</v>
      </c>
      <c r="E46" s="12" t="s">
        <v>7</v>
      </c>
    </row>
    <row r="47" spans="1:5" ht="18.75">
      <c r="A47" s="10">
        <v>44314.020254629628</v>
      </c>
      <c r="B47" s="11" t="s">
        <v>5</v>
      </c>
      <c r="C47" s="12"/>
      <c r="D47" s="13">
        <v>30000</v>
      </c>
      <c r="E47" s="12" t="s">
        <v>7</v>
      </c>
    </row>
    <row r="48" spans="1:5" ht="18.75">
      <c r="A48" s="10">
        <v>44310.636319444442</v>
      </c>
      <c r="B48" s="11" t="s">
        <v>5</v>
      </c>
      <c r="C48" s="12"/>
      <c r="D48" s="13">
        <v>30000</v>
      </c>
      <c r="E48" s="12" t="s">
        <v>7</v>
      </c>
    </row>
    <row r="49" spans="1:5" ht="18.75">
      <c r="A49" s="10">
        <v>44300.614745370367</v>
      </c>
      <c r="B49" s="11" t="s">
        <v>5</v>
      </c>
      <c r="C49" s="12"/>
      <c r="D49" s="13">
        <v>20000</v>
      </c>
      <c r="E49" s="12" t="s">
        <v>7</v>
      </c>
    </row>
  </sheetData>
  <autoFilter ref="A1:E49" xr:uid="{5231D323-08DA-44AB-84F2-0CFE5EC4A4AD}">
    <filterColumn colId="1">
      <filters>
        <filter val="TWD"/>
      </filters>
    </filterColumn>
  </autoFilter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0160-5A38-4D45-9D01-451922ECDA3A}">
  <dimension ref="A1:BP6"/>
  <sheetViews>
    <sheetView workbookViewId="0">
      <selection activeCell="BP6" sqref="A1:BP6"/>
    </sheetView>
  </sheetViews>
  <sheetFormatPr defaultRowHeight="15.75"/>
  <cols>
    <col min="1" max="1" width="19.140625" bestFit="1" customWidth="1"/>
    <col min="2" max="2" width="27.42578125" customWidth="1"/>
    <col min="3" max="68" width="23.7109375" customWidth="1"/>
  </cols>
  <sheetData>
    <row r="1" spans="1:68" ht="16.5">
      <c r="A1" s="17" t="s">
        <v>0</v>
      </c>
      <c r="B1" s="19">
        <v>46206.03162037037</v>
      </c>
      <c r="C1" s="19">
        <v>46205.905775462961</v>
      </c>
      <c r="D1" s="19">
        <v>46205.001307870371</v>
      </c>
      <c r="E1" s="19">
        <v>46204.936493055553</v>
      </c>
      <c r="F1" s="19">
        <v>46204.623576388891</v>
      </c>
      <c r="G1" s="19">
        <v>46201.328182870369</v>
      </c>
      <c r="H1" s="19">
        <v>46200.070324074077</v>
      </c>
      <c r="I1" s="19">
        <v>46198.901122685187</v>
      </c>
      <c r="J1" s="19">
        <v>46195.970104166663</v>
      </c>
      <c r="K1" s="19">
        <v>46193.761076388888</v>
      </c>
      <c r="L1" s="19">
        <v>46192.982581018521</v>
      </c>
      <c r="M1" s="19">
        <v>46177.975173611114</v>
      </c>
      <c r="N1" s="19">
        <v>46146.51226851852</v>
      </c>
      <c r="O1" s="19">
        <v>46127.879340277781</v>
      </c>
      <c r="P1" s="19">
        <v>46120.903645833336</v>
      </c>
      <c r="Q1" s="19">
        <v>46101.345775462964</v>
      </c>
      <c r="R1" s="19">
        <v>46070.928865740738</v>
      </c>
      <c r="S1" s="19">
        <v>46049.990451388891</v>
      </c>
      <c r="T1" s="19">
        <v>46008.835995370369</v>
      </c>
      <c r="U1" s="19">
        <v>46008.830671296295</v>
      </c>
      <c r="V1" s="19">
        <v>45933.990555555552</v>
      </c>
      <c r="W1" s="19">
        <v>45806.649745370371</v>
      </c>
      <c r="X1" s="19">
        <v>45734.660879629628</v>
      </c>
      <c r="Y1" s="19">
        <v>45645.912928240738</v>
      </c>
      <c r="Z1" s="19">
        <v>45631.558263888888</v>
      </c>
      <c r="AA1" s="19">
        <v>45604.608437499999</v>
      </c>
      <c r="AB1" s="19">
        <v>45597.438078703701</v>
      </c>
      <c r="AC1" s="19">
        <v>45590.60665509259</v>
      </c>
      <c r="AD1" s="19">
        <v>45589.033460648148</v>
      </c>
      <c r="AE1" s="19">
        <v>45588.936944444446</v>
      </c>
      <c r="AF1" s="19">
        <v>45588.86959490741</v>
      </c>
      <c r="AG1" s="19">
        <v>45397.561388888891</v>
      </c>
      <c r="AH1" s="19">
        <v>44884.982199074075</v>
      </c>
      <c r="AI1" s="19">
        <v>44875.555034722223</v>
      </c>
      <c r="AJ1" s="19">
        <v>44875.357175925928</v>
      </c>
      <c r="AK1" s="19">
        <v>44558.546238425923</v>
      </c>
      <c r="AL1" s="19">
        <v>44547.542812500003</v>
      </c>
      <c r="AM1" s="19">
        <v>44547.537048611113</v>
      </c>
      <c r="AN1" s="19">
        <v>44546.792222222219</v>
      </c>
      <c r="AO1" s="19">
        <v>44530.411238425928</v>
      </c>
      <c r="AP1" s="19">
        <v>44520.470729166664</v>
      </c>
      <c r="AQ1" s="19">
        <v>44498.40693287037</v>
      </c>
      <c r="AR1" s="19">
        <v>44448.523217592592</v>
      </c>
      <c r="AS1" s="19">
        <v>44447.567650462966</v>
      </c>
      <c r="AT1" s="19">
        <v>44446.968124999999</v>
      </c>
      <c r="AU1" s="19">
        <v>44441.411828703705</v>
      </c>
      <c r="AV1" s="19">
        <v>44440.594502314816</v>
      </c>
      <c r="AW1" s="19">
        <v>44433.465856481482</v>
      </c>
      <c r="AX1" s="19">
        <v>44431.449317129627</v>
      </c>
      <c r="AY1" s="19">
        <v>44426.957094907404</v>
      </c>
      <c r="AZ1" s="19">
        <v>44425.823171296295</v>
      </c>
      <c r="BA1" s="19">
        <v>44425.510995370372</v>
      </c>
      <c r="BB1" s="19">
        <v>44420.605821759258</v>
      </c>
      <c r="BC1" s="19">
        <v>44417.901273148149</v>
      </c>
      <c r="BD1" s="19">
        <v>44416.936273148145</v>
      </c>
      <c r="BE1" s="19">
        <v>44415.746724537035</v>
      </c>
      <c r="BF1" s="19">
        <v>44414.508402777778</v>
      </c>
      <c r="BG1" s="19">
        <v>44410.024560185186</v>
      </c>
      <c r="BH1" s="19">
        <v>44408.921909722223</v>
      </c>
      <c r="BI1" s="19">
        <v>44405.36515046296</v>
      </c>
      <c r="BJ1" s="19">
        <v>44403.672546296293</v>
      </c>
      <c r="BK1" s="19">
        <v>44390.46497685185</v>
      </c>
      <c r="BL1" s="19">
        <v>44327.797974537039</v>
      </c>
      <c r="BM1" s="19">
        <v>44327.794861111113</v>
      </c>
      <c r="BN1" s="19">
        <v>44326.440717592595</v>
      </c>
      <c r="BO1" s="19">
        <v>44320.126516203702</v>
      </c>
      <c r="BP1" s="19">
        <v>44317.78398148148</v>
      </c>
    </row>
    <row r="2" spans="1:68" ht="18.75">
      <c r="A2" s="17" t="s">
        <v>1</v>
      </c>
      <c r="B2" s="20" t="s">
        <v>8</v>
      </c>
      <c r="C2" s="20" t="s">
        <v>8</v>
      </c>
      <c r="D2" s="20" t="s">
        <v>20</v>
      </c>
      <c r="E2" s="20" t="s">
        <v>20</v>
      </c>
      <c r="F2" s="20" t="s">
        <v>20</v>
      </c>
      <c r="G2" s="20" t="s">
        <v>20</v>
      </c>
      <c r="H2" s="20" t="s">
        <v>20</v>
      </c>
      <c r="I2" s="20" t="s">
        <v>20</v>
      </c>
      <c r="J2" s="20" t="s">
        <v>20</v>
      </c>
      <c r="K2" s="20" t="s">
        <v>20</v>
      </c>
      <c r="L2" s="20" t="s">
        <v>20</v>
      </c>
      <c r="M2" s="20" t="s">
        <v>20</v>
      </c>
      <c r="N2" s="20" t="s">
        <v>20</v>
      </c>
      <c r="O2" s="20" t="s">
        <v>20</v>
      </c>
      <c r="P2" s="20" t="s">
        <v>20</v>
      </c>
      <c r="Q2" s="20" t="s">
        <v>20</v>
      </c>
      <c r="R2" s="20" t="s">
        <v>20</v>
      </c>
      <c r="S2" s="20" t="s">
        <v>20</v>
      </c>
      <c r="T2" s="20" t="s">
        <v>20</v>
      </c>
      <c r="U2" s="20" t="s">
        <v>20</v>
      </c>
      <c r="V2" s="20" t="s">
        <v>20</v>
      </c>
      <c r="W2" s="20" t="s">
        <v>25</v>
      </c>
      <c r="X2" s="20" t="s">
        <v>25</v>
      </c>
      <c r="Y2" s="20" t="s">
        <v>25</v>
      </c>
      <c r="Z2" s="20" t="s">
        <v>20</v>
      </c>
      <c r="AA2" s="20" t="s">
        <v>20</v>
      </c>
      <c r="AB2" s="20" t="s">
        <v>20</v>
      </c>
      <c r="AC2" s="20" t="s">
        <v>20</v>
      </c>
      <c r="AD2" s="20" t="s">
        <v>20</v>
      </c>
      <c r="AE2" s="20" t="s">
        <v>20</v>
      </c>
      <c r="AF2" s="20" t="s">
        <v>20</v>
      </c>
      <c r="AG2" s="20" t="s">
        <v>25</v>
      </c>
      <c r="AH2" s="20" t="s">
        <v>25</v>
      </c>
      <c r="AI2" s="20" t="s">
        <v>25</v>
      </c>
      <c r="AJ2" s="20" t="s">
        <v>25</v>
      </c>
      <c r="AK2" s="20" t="s">
        <v>20</v>
      </c>
      <c r="AL2" s="20" t="s">
        <v>20</v>
      </c>
      <c r="AM2" s="20" t="s">
        <v>20</v>
      </c>
      <c r="AN2" s="20" t="s">
        <v>20</v>
      </c>
      <c r="AO2" s="20" t="s">
        <v>20</v>
      </c>
      <c r="AP2" s="20" t="s">
        <v>20</v>
      </c>
      <c r="AQ2" s="20" t="s">
        <v>20</v>
      </c>
      <c r="AR2" s="20" t="s">
        <v>20</v>
      </c>
      <c r="AS2" s="20" t="s">
        <v>20</v>
      </c>
      <c r="AT2" s="20" t="s">
        <v>20</v>
      </c>
      <c r="AU2" s="20" t="s">
        <v>20</v>
      </c>
      <c r="AV2" s="20" t="s">
        <v>20</v>
      </c>
      <c r="AW2" s="20" t="s">
        <v>20</v>
      </c>
      <c r="AX2" s="20" t="s">
        <v>20</v>
      </c>
      <c r="AY2" s="20" t="s">
        <v>20</v>
      </c>
      <c r="AZ2" s="20" t="s">
        <v>20</v>
      </c>
      <c r="BA2" s="20" t="s">
        <v>20</v>
      </c>
      <c r="BB2" s="20" t="s">
        <v>20</v>
      </c>
      <c r="BC2" s="20" t="s">
        <v>20</v>
      </c>
      <c r="BD2" s="20" t="s">
        <v>20</v>
      </c>
      <c r="BE2" s="20" t="s">
        <v>20</v>
      </c>
      <c r="BF2" s="20" t="s">
        <v>20</v>
      </c>
      <c r="BG2" s="20" t="s">
        <v>20</v>
      </c>
      <c r="BH2" s="20" t="s">
        <v>20</v>
      </c>
      <c r="BI2" s="20" t="s">
        <v>20</v>
      </c>
      <c r="BJ2" s="20" t="s">
        <v>20</v>
      </c>
      <c r="BK2" s="20" t="s">
        <v>25</v>
      </c>
      <c r="BL2" s="20" t="s">
        <v>20</v>
      </c>
      <c r="BM2" s="20" t="s">
        <v>20</v>
      </c>
      <c r="BN2" s="20" t="s">
        <v>20</v>
      </c>
      <c r="BO2" s="20" t="s">
        <v>20</v>
      </c>
      <c r="BP2" s="20" t="s">
        <v>20</v>
      </c>
    </row>
    <row r="3" spans="1:68" ht="49.5">
      <c r="A3" s="25" t="s">
        <v>19</v>
      </c>
      <c r="B3" s="21" t="s">
        <v>17</v>
      </c>
      <c r="C3" s="21" t="s">
        <v>17</v>
      </c>
      <c r="D3" s="21" t="s">
        <v>21</v>
      </c>
      <c r="E3" s="21" t="s">
        <v>21</v>
      </c>
      <c r="F3" s="21" t="s">
        <v>21</v>
      </c>
      <c r="G3" s="21" t="s">
        <v>21</v>
      </c>
      <c r="H3" s="21" t="s">
        <v>21</v>
      </c>
      <c r="I3" s="21" t="s">
        <v>21</v>
      </c>
      <c r="J3" s="21" t="s">
        <v>21</v>
      </c>
      <c r="K3" s="21" t="s">
        <v>21</v>
      </c>
      <c r="L3" s="21" t="s">
        <v>21</v>
      </c>
      <c r="M3" s="21" t="s">
        <v>21</v>
      </c>
      <c r="N3" s="21" t="s">
        <v>21</v>
      </c>
      <c r="O3" s="21" t="s">
        <v>21</v>
      </c>
      <c r="P3" s="21" t="s">
        <v>21</v>
      </c>
      <c r="Q3" s="21" t="s">
        <v>21</v>
      </c>
      <c r="R3" s="21" t="s">
        <v>21</v>
      </c>
      <c r="S3" s="21" t="s">
        <v>21</v>
      </c>
      <c r="T3" s="21" t="s">
        <v>21</v>
      </c>
      <c r="U3" s="21" t="s">
        <v>21</v>
      </c>
      <c r="V3" s="21" t="s">
        <v>21</v>
      </c>
      <c r="W3" s="21" t="s">
        <v>26</v>
      </c>
      <c r="X3" s="21" t="s">
        <v>26</v>
      </c>
      <c r="Y3" s="21" t="s">
        <v>26</v>
      </c>
      <c r="Z3" s="21" t="s">
        <v>21</v>
      </c>
      <c r="AA3" s="21" t="s">
        <v>21</v>
      </c>
      <c r="AB3" s="21" t="s">
        <v>21</v>
      </c>
      <c r="AC3" s="21" t="s">
        <v>21</v>
      </c>
      <c r="AD3" s="21" t="s">
        <v>21</v>
      </c>
      <c r="AE3" s="21" t="s">
        <v>21</v>
      </c>
      <c r="AF3" s="21" t="s">
        <v>21</v>
      </c>
      <c r="AG3" s="21" t="s">
        <v>26</v>
      </c>
      <c r="AH3" s="21" t="s">
        <v>26</v>
      </c>
      <c r="AI3" s="21" t="s">
        <v>26</v>
      </c>
      <c r="AJ3" s="21" t="s">
        <v>26</v>
      </c>
      <c r="AK3" s="21" t="s">
        <v>29</v>
      </c>
      <c r="AL3" s="21" t="s">
        <v>29</v>
      </c>
      <c r="AM3" s="21" t="s">
        <v>29</v>
      </c>
      <c r="AN3" s="21" t="s">
        <v>29</v>
      </c>
      <c r="AO3" s="21" t="s">
        <v>29</v>
      </c>
      <c r="AP3" s="21" t="s">
        <v>29</v>
      </c>
      <c r="AQ3" s="21" t="s">
        <v>29</v>
      </c>
      <c r="AR3" s="21" t="s">
        <v>29</v>
      </c>
      <c r="AS3" s="21" t="s">
        <v>29</v>
      </c>
      <c r="AT3" s="21" t="s">
        <v>29</v>
      </c>
      <c r="AU3" s="21" t="s">
        <v>29</v>
      </c>
      <c r="AV3" s="21" t="s">
        <v>29</v>
      </c>
      <c r="AW3" s="21" t="s">
        <v>29</v>
      </c>
      <c r="AX3" s="21" t="s">
        <v>29</v>
      </c>
      <c r="AY3" s="21" t="s">
        <v>29</v>
      </c>
      <c r="AZ3" s="21" t="s">
        <v>29</v>
      </c>
      <c r="BA3" s="21" t="s">
        <v>29</v>
      </c>
      <c r="BB3" s="21" t="s">
        <v>29</v>
      </c>
      <c r="BC3" s="21" t="s">
        <v>29</v>
      </c>
      <c r="BD3" s="21" t="s">
        <v>29</v>
      </c>
      <c r="BE3" s="21" t="s">
        <v>29</v>
      </c>
      <c r="BF3" s="21" t="s">
        <v>29</v>
      </c>
      <c r="BG3" s="21" t="s">
        <v>29</v>
      </c>
      <c r="BH3" s="21" t="s">
        <v>29</v>
      </c>
      <c r="BI3" s="21" t="s">
        <v>29</v>
      </c>
      <c r="BJ3" s="21" t="s">
        <v>29</v>
      </c>
      <c r="BK3" s="21" t="s">
        <v>26</v>
      </c>
      <c r="BL3" s="21" t="s">
        <v>29</v>
      </c>
      <c r="BM3" s="21" t="s">
        <v>29</v>
      </c>
      <c r="BN3" s="21" t="s">
        <v>29</v>
      </c>
      <c r="BO3" s="21" t="s">
        <v>29</v>
      </c>
      <c r="BP3" s="21" t="s">
        <v>31</v>
      </c>
    </row>
    <row r="4" spans="1:68">
      <c r="A4" s="18" t="s">
        <v>3</v>
      </c>
      <c r="B4" s="22">
        <v>500</v>
      </c>
      <c r="C4" s="22">
        <v>500</v>
      </c>
      <c r="D4" s="22">
        <v>500</v>
      </c>
      <c r="E4" s="22">
        <v>500</v>
      </c>
      <c r="F4" s="22">
        <v>600</v>
      </c>
      <c r="G4" s="22">
        <v>700</v>
      </c>
      <c r="H4" s="22">
        <v>400</v>
      </c>
      <c r="I4" s="22">
        <v>500</v>
      </c>
      <c r="J4" s="22">
        <v>500</v>
      </c>
      <c r="K4" s="22">
        <v>350</v>
      </c>
      <c r="L4" s="22">
        <v>400</v>
      </c>
      <c r="M4" s="22">
        <v>1000</v>
      </c>
      <c r="N4" s="22">
        <v>1000</v>
      </c>
      <c r="O4" s="22">
        <v>1000</v>
      </c>
      <c r="P4" s="22">
        <v>545</v>
      </c>
      <c r="Q4" s="22">
        <v>578.59825899999998</v>
      </c>
      <c r="R4" s="22">
        <v>1000</v>
      </c>
      <c r="S4" s="22">
        <v>3179.5343360000002</v>
      </c>
      <c r="T4" s="22">
        <v>2542.938545</v>
      </c>
      <c r="U4" s="22">
        <v>4</v>
      </c>
      <c r="V4" s="22">
        <v>1642</v>
      </c>
      <c r="W4" s="22">
        <v>139970</v>
      </c>
      <c r="X4" s="22">
        <v>99494</v>
      </c>
      <c r="Y4" s="22">
        <v>110000</v>
      </c>
      <c r="Z4" s="22">
        <v>3066.73</v>
      </c>
      <c r="AA4" s="22">
        <v>1552.32</v>
      </c>
      <c r="AB4" s="22">
        <v>1554.09</v>
      </c>
      <c r="AC4" s="22">
        <v>1551.35</v>
      </c>
      <c r="AD4" s="22">
        <v>2904.5831499999999</v>
      </c>
      <c r="AE4" s="22">
        <v>100</v>
      </c>
      <c r="AF4" s="22">
        <v>100</v>
      </c>
      <c r="AG4" s="22">
        <v>287357</v>
      </c>
      <c r="AH4" s="22">
        <v>63247</v>
      </c>
      <c r="AI4" s="22">
        <v>32081</v>
      </c>
      <c r="AJ4" s="22">
        <v>120352</v>
      </c>
      <c r="AK4" s="22">
        <v>1000</v>
      </c>
      <c r="AL4" s="22">
        <v>1000</v>
      </c>
      <c r="AM4" s="22">
        <v>500</v>
      </c>
      <c r="AN4" s="22">
        <v>500</v>
      </c>
      <c r="AO4" s="22">
        <v>500</v>
      </c>
      <c r="AP4" s="22">
        <v>500</v>
      </c>
      <c r="AQ4" s="22">
        <v>832</v>
      </c>
      <c r="AR4" s="22">
        <v>200</v>
      </c>
      <c r="AS4" s="22">
        <v>500</v>
      </c>
      <c r="AT4" s="22">
        <v>500</v>
      </c>
      <c r="AU4" s="22">
        <v>500</v>
      </c>
      <c r="AV4" s="22">
        <v>500</v>
      </c>
      <c r="AW4" s="22">
        <v>500</v>
      </c>
      <c r="AX4" s="22">
        <v>500</v>
      </c>
      <c r="AY4" s="22">
        <v>400</v>
      </c>
      <c r="AZ4" s="22">
        <v>400</v>
      </c>
      <c r="BA4" s="22">
        <v>500</v>
      </c>
      <c r="BB4" s="22">
        <v>500</v>
      </c>
      <c r="BC4" s="22">
        <v>400</v>
      </c>
      <c r="BD4" s="22">
        <v>400</v>
      </c>
      <c r="BE4" s="22">
        <v>400</v>
      </c>
      <c r="BF4" s="22">
        <v>100</v>
      </c>
      <c r="BG4" s="22">
        <v>818</v>
      </c>
      <c r="BH4" s="22">
        <v>1000</v>
      </c>
      <c r="BI4" s="22">
        <v>1000</v>
      </c>
      <c r="BJ4" s="22">
        <v>40</v>
      </c>
      <c r="BK4" s="22">
        <v>50000</v>
      </c>
      <c r="BL4" s="22">
        <v>150</v>
      </c>
      <c r="BM4" s="22">
        <v>150</v>
      </c>
      <c r="BN4" s="22">
        <v>100</v>
      </c>
      <c r="BO4" s="22">
        <v>30</v>
      </c>
      <c r="BP4" s="22">
        <v>480</v>
      </c>
    </row>
    <row r="5" spans="1:68" ht="17.25">
      <c r="A5" s="18" t="s">
        <v>16</v>
      </c>
      <c r="B5" s="23" t="s">
        <v>18</v>
      </c>
      <c r="C5" s="23" t="s">
        <v>18</v>
      </c>
      <c r="D5" s="23" t="s">
        <v>22</v>
      </c>
      <c r="E5" s="23" t="s">
        <v>22</v>
      </c>
      <c r="F5" s="23" t="s">
        <v>22</v>
      </c>
      <c r="G5" s="23" t="s">
        <v>22</v>
      </c>
      <c r="H5" s="23" t="s">
        <v>22</v>
      </c>
      <c r="I5" s="23" t="s">
        <v>22</v>
      </c>
      <c r="J5" s="23" t="s">
        <v>22</v>
      </c>
      <c r="K5" s="23" t="s">
        <v>22</v>
      </c>
      <c r="L5" s="23" t="s">
        <v>22</v>
      </c>
      <c r="M5" s="23" t="s">
        <v>22</v>
      </c>
      <c r="N5" s="23" t="s">
        <v>22</v>
      </c>
      <c r="O5" s="23" t="s">
        <v>22</v>
      </c>
      <c r="P5" s="23" t="s">
        <v>22</v>
      </c>
      <c r="Q5" s="23" t="s">
        <v>22</v>
      </c>
      <c r="R5" s="23" t="s">
        <v>22</v>
      </c>
      <c r="S5" s="23" t="s">
        <v>22</v>
      </c>
      <c r="T5" s="23" t="s">
        <v>22</v>
      </c>
      <c r="U5" s="23" t="s">
        <v>22</v>
      </c>
      <c r="V5" s="23" t="s">
        <v>24</v>
      </c>
      <c r="W5" s="23" t="s">
        <v>27</v>
      </c>
      <c r="X5" s="23" t="s">
        <v>27</v>
      </c>
      <c r="Y5" s="23" t="s">
        <v>28</v>
      </c>
      <c r="Z5" s="23" t="s">
        <v>22</v>
      </c>
      <c r="AA5" s="23" t="s">
        <v>22</v>
      </c>
      <c r="AB5" s="23" t="s">
        <v>22</v>
      </c>
      <c r="AC5" s="23" t="s">
        <v>22</v>
      </c>
      <c r="AD5" s="23" t="s">
        <v>22</v>
      </c>
      <c r="AE5" s="23" t="s">
        <v>22</v>
      </c>
      <c r="AF5" s="23" t="s">
        <v>22</v>
      </c>
      <c r="AG5" s="23" t="s">
        <v>28</v>
      </c>
      <c r="AH5" s="23" t="s">
        <v>28</v>
      </c>
      <c r="AI5" s="23" t="s">
        <v>28</v>
      </c>
      <c r="AJ5" s="23" t="s">
        <v>28</v>
      </c>
      <c r="AK5" s="23" t="s">
        <v>22</v>
      </c>
      <c r="AL5" s="23" t="s">
        <v>22</v>
      </c>
      <c r="AM5" s="23" t="s">
        <v>22</v>
      </c>
      <c r="AN5" s="23" t="s">
        <v>22</v>
      </c>
      <c r="AO5" s="23" t="s">
        <v>22</v>
      </c>
      <c r="AP5" s="23" t="s">
        <v>22</v>
      </c>
      <c r="AQ5" s="23" t="s">
        <v>22</v>
      </c>
      <c r="AR5" s="23" t="s">
        <v>22</v>
      </c>
      <c r="AS5" s="23" t="s">
        <v>22</v>
      </c>
      <c r="AT5" s="23" t="s">
        <v>22</v>
      </c>
      <c r="AU5" s="23" t="s">
        <v>22</v>
      </c>
      <c r="AV5" s="23" t="s">
        <v>22</v>
      </c>
      <c r="AW5" s="23" t="s">
        <v>22</v>
      </c>
      <c r="AX5" s="23" t="s">
        <v>22</v>
      </c>
      <c r="AY5" s="23" t="s">
        <v>22</v>
      </c>
      <c r="AZ5" s="23" t="s">
        <v>22</v>
      </c>
      <c r="BA5" s="23" t="s">
        <v>22</v>
      </c>
      <c r="BB5" s="23" t="s">
        <v>22</v>
      </c>
      <c r="BC5" s="23" t="s">
        <v>22</v>
      </c>
      <c r="BD5" s="23" t="s">
        <v>22</v>
      </c>
      <c r="BE5" s="23" t="s">
        <v>22</v>
      </c>
      <c r="BF5" s="23" t="s">
        <v>22</v>
      </c>
      <c r="BG5" s="23" t="s">
        <v>22</v>
      </c>
      <c r="BH5" s="23" t="s">
        <v>22</v>
      </c>
      <c r="BI5" s="23" t="s">
        <v>22</v>
      </c>
      <c r="BJ5" s="23" t="s">
        <v>22</v>
      </c>
      <c r="BK5" s="23" t="s">
        <v>28</v>
      </c>
      <c r="BL5" s="23" t="s">
        <v>22</v>
      </c>
      <c r="BM5" s="23" t="s">
        <v>22</v>
      </c>
      <c r="BN5" s="23" t="s">
        <v>22</v>
      </c>
      <c r="BO5" s="23" t="s">
        <v>30</v>
      </c>
      <c r="BP5" s="23" t="s">
        <v>32</v>
      </c>
    </row>
    <row r="6" spans="1:68" ht="16.5">
      <c r="A6" s="18" t="s">
        <v>4</v>
      </c>
      <c r="B6" s="24" t="s">
        <v>7</v>
      </c>
      <c r="C6" s="24" t="s">
        <v>7</v>
      </c>
      <c r="D6" s="24" t="s">
        <v>23</v>
      </c>
      <c r="E6" s="24" t="s">
        <v>23</v>
      </c>
      <c r="F6" s="24" t="s">
        <v>23</v>
      </c>
      <c r="G6" s="24" t="s">
        <v>23</v>
      </c>
      <c r="H6" s="24" t="s">
        <v>23</v>
      </c>
      <c r="I6" s="24" t="s">
        <v>23</v>
      </c>
      <c r="J6" s="24" t="s">
        <v>23</v>
      </c>
      <c r="K6" s="24" t="s">
        <v>23</v>
      </c>
      <c r="L6" s="24" t="s">
        <v>23</v>
      </c>
      <c r="M6" s="24" t="s">
        <v>23</v>
      </c>
      <c r="N6" s="24" t="s">
        <v>23</v>
      </c>
      <c r="O6" s="24" t="s">
        <v>23</v>
      </c>
      <c r="P6" s="24" t="s">
        <v>23</v>
      </c>
      <c r="Q6" s="24" t="s">
        <v>23</v>
      </c>
      <c r="R6" s="24" t="s">
        <v>23</v>
      </c>
      <c r="S6" s="24" t="s">
        <v>23</v>
      </c>
      <c r="T6" s="24" t="s">
        <v>23</v>
      </c>
      <c r="U6" s="24" t="s">
        <v>23</v>
      </c>
      <c r="V6" s="24" t="s">
        <v>23</v>
      </c>
      <c r="W6" s="24" t="s">
        <v>23</v>
      </c>
      <c r="X6" s="24" t="s">
        <v>23</v>
      </c>
      <c r="Y6" s="24" t="s">
        <v>23</v>
      </c>
      <c r="Z6" s="24" t="s">
        <v>23</v>
      </c>
      <c r="AA6" s="24" t="s">
        <v>23</v>
      </c>
      <c r="AB6" s="24" t="s">
        <v>23</v>
      </c>
      <c r="AC6" s="24" t="s">
        <v>23</v>
      </c>
      <c r="AD6" s="24" t="s">
        <v>23</v>
      </c>
      <c r="AE6" s="24" t="s">
        <v>23</v>
      </c>
      <c r="AF6" s="24" t="s">
        <v>23</v>
      </c>
      <c r="AG6" s="24" t="s">
        <v>23</v>
      </c>
      <c r="AH6" s="24" t="s">
        <v>23</v>
      </c>
      <c r="AI6" s="24" t="s">
        <v>23</v>
      </c>
      <c r="AJ6" s="24" t="s">
        <v>23</v>
      </c>
      <c r="AK6" s="24" t="s">
        <v>23</v>
      </c>
      <c r="AL6" s="24" t="s">
        <v>23</v>
      </c>
      <c r="AM6" s="24" t="s">
        <v>23</v>
      </c>
      <c r="AN6" s="24" t="s">
        <v>23</v>
      </c>
      <c r="AO6" s="24" t="s">
        <v>23</v>
      </c>
      <c r="AP6" s="24" t="s">
        <v>23</v>
      </c>
      <c r="AQ6" s="24" t="s">
        <v>23</v>
      </c>
      <c r="AR6" s="24" t="s">
        <v>23</v>
      </c>
      <c r="AS6" s="24" t="s">
        <v>23</v>
      </c>
      <c r="AT6" s="24" t="s">
        <v>23</v>
      </c>
      <c r="AU6" s="24" t="s">
        <v>23</v>
      </c>
      <c r="AV6" s="24" t="s">
        <v>23</v>
      </c>
      <c r="AW6" s="24" t="s">
        <v>23</v>
      </c>
      <c r="AX6" s="24" t="s">
        <v>23</v>
      </c>
      <c r="AY6" s="24" t="s">
        <v>23</v>
      </c>
      <c r="AZ6" s="24" t="s">
        <v>23</v>
      </c>
      <c r="BA6" s="24" t="s">
        <v>23</v>
      </c>
      <c r="BB6" s="24" t="s">
        <v>23</v>
      </c>
      <c r="BC6" s="24" t="s">
        <v>23</v>
      </c>
      <c r="BD6" s="24" t="s">
        <v>23</v>
      </c>
      <c r="BE6" s="24" t="s">
        <v>23</v>
      </c>
      <c r="BF6" s="24" t="s">
        <v>23</v>
      </c>
      <c r="BG6" s="24" t="s">
        <v>23</v>
      </c>
      <c r="BH6" s="24" t="s">
        <v>23</v>
      </c>
      <c r="BI6" s="24" t="s">
        <v>23</v>
      </c>
      <c r="BJ6" s="24" t="s">
        <v>23</v>
      </c>
      <c r="BK6" s="24" t="s">
        <v>23</v>
      </c>
      <c r="BL6" s="24" t="s">
        <v>23</v>
      </c>
      <c r="BM6" s="24" t="s">
        <v>23</v>
      </c>
      <c r="BN6" s="24" t="s">
        <v>23</v>
      </c>
      <c r="BO6" s="24" t="s">
        <v>23</v>
      </c>
      <c r="BP6" s="24" t="s">
        <v>23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BBE4-3193-4870-B18E-72FB6856C18E}">
  <sheetPr filterMode="1"/>
  <dimension ref="A1:I68"/>
  <sheetViews>
    <sheetView workbookViewId="0">
      <selection activeCell="J36" sqref="J36"/>
    </sheetView>
  </sheetViews>
  <sheetFormatPr defaultRowHeight="15.75"/>
  <cols>
    <col min="1" max="1" width="19.140625" style="29" bestFit="1" customWidth="1"/>
    <col min="2" max="2" width="8.42578125" style="29" bestFit="1" customWidth="1"/>
    <col min="3" max="3" width="55.28515625" style="29" customWidth="1"/>
    <col min="4" max="4" width="16.85546875" style="29" bestFit="1" customWidth="1"/>
    <col min="5" max="5" width="9" style="29" bestFit="1" customWidth="1"/>
    <col min="6" max="6" width="8.140625" style="29" bestFit="1" customWidth="1"/>
    <col min="7" max="16384" width="9.140625" style="29"/>
  </cols>
  <sheetData>
    <row r="1" spans="1:9">
      <c r="A1" s="26" t="s">
        <v>0</v>
      </c>
      <c r="B1" s="26" t="s">
        <v>1</v>
      </c>
      <c r="C1" s="27" t="s">
        <v>19</v>
      </c>
      <c r="D1" s="28" t="s">
        <v>3</v>
      </c>
      <c r="E1" s="28" t="s">
        <v>16</v>
      </c>
      <c r="F1" s="28" t="s">
        <v>4</v>
      </c>
      <c r="H1" s="28" t="s">
        <v>15</v>
      </c>
      <c r="I1" s="29">
        <v>902501</v>
      </c>
    </row>
    <row r="2" spans="1:9" ht="18.75" hidden="1">
      <c r="A2" s="30">
        <v>46206.03162037037</v>
      </c>
      <c r="B2" s="31" t="s">
        <v>8</v>
      </c>
      <c r="C2" s="32" t="s">
        <v>17</v>
      </c>
      <c r="D2" s="33">
        <v>500</v>
      </c>
      <c r="E2" s="34" t="s">
        <v>33</v>
      </c>
      <c r="F2" s="35" t="s">
        <v>7</v>
      </c>
    </row>
    <row r="3" spans="1:9" ht="18.75" hidden="1">
      <c r="A3" s="30">
        <v>46205.905775462961</v>
      </c>
      <c r="B3" s="31" t="s">
        <v>8</v>
      </c>
      <c r="C3" s="32" t="s">
        <v>17</v>
      </c>
      <c r="D3" s="33">
        <v>500</v>
      </c>
      <c r="E3" s="34" t="s">
        <v>33</v>
      </c>
      <c r="F3" s="35" t="s">
        <v>7</v>
      </c>
    </row>
    <row r="4" spans="1:9" ht="18.75" hidden="1">
      <c r="A4" s="30">
        <v>46205.001307870371</v>
      </c>
      <c r="B4" s="31" t="s">
        <v>20</v>
      </c>
      <c r="C4" s="32" t="s">
        <v>21</v>
      </c>
      <c r="D4" s="33">
        <v>500</v>
      </c>
      <c r="E4" s="34" t="s">
        <v>22</v>
      </c>
      <c r="F4" s="35" t="s">
        <v>23</v>
      </c>
    </row>
    <row r="5" spans="1:9" ht="18.75" hidden="1">
      <c r="A5" s="30">
        <v>46204.936493055553</v>
      </c>
      <c r="B5" s="31" t="s">
        <v>20</v>
      </c>
      <c r="C5" s="32" t="s">
        <v>21</v>
      </c>
      <c r="D5" s="33">
        <v>500</v>
      </c>
      <c r="E5" s="34" t="s">
        <v>22</v>
      </c>
      <c r="F5" s="35" t="s">
        <v>23</v>
      </c>
    </row>
    <row r="6" spans="1:9" ht="18.75" hidden="1">
      <c r="A6" s="30">
        <v>46204.623576388891</v>
      </c>
      <c r="B6" s="31" t="s">
        <v>20</v>
      </c>
      <c r="C6" s="32" t="s">
        <v>21</v>
      </c>
      <c r="D6" s="33">
        <v>600</v>
      </c>
      <c r="E6" s="34" t="s">
        <v>22</v>
      </c>
      <c r="F6" s="35" t="s">
        <v>23</v>
      </c>
    </row>
    <row r="7" spans="1:9" ht="18.75" hidden="1">
      <c r="A7" s="30">
        <v>46201.328182870369</v>
      </c>
      <c r="B7" s="31" t="s">
        <v>20</v>
      </c>
      <c r="C7" s="32" t="s">
        <v>21</v>
      </c>
      <c r="D7" s="33">
        <v>700</v>
      </c>
      <c r="E7" s="34" t="s">
        <v>22</v>
      </c>
      <c r="F7" s="35" t="s">
        <v>23</v>
      </c>
    </row>
    <row r="8" spans="1:9" ht="18.75" hidden="1">
      <c r="A8" s="30">
        <v>46200.070324074077</v>
      </c>
      <c r="B8" s="31" t="s">
        <v>20</v>
      </c>
      <c r="C8" s="32" t="s">
        <v>21</v>
      </c>
      <c r="D8" s="33">
        <v>400</v>
      </c>
      <c r="E8" s="34" t="s">
        <v>22</v>
      </c>
      <c r="F8" s="35" t="s">
        <v>23</v>
      </c>
    </row>
    <row r="9" spans="1:9" ht="18.75" hidden="1">
      <c r="A9" s="30">
        <v>46198.901122685187</v>
      </c>
      <c r="B9" s="31" t="s">
        <v>20</v>
      </c>
      <c r="C9" s="32" t="s">
        <v>21</v>
      </c>
      <c r="D9" s="33">
        <v>500</v>
      </c>
      <c r="E9" s="34" t="s">
        <v>22</v>
      </c>
      <c r="F9" s="35" t="s">
        <v>23</v>
      </c>
    </row>
    <row r="10" spans="1:9" ht="18.75" hidden="1">
      <c r="A10" s="30">
        <v>46195.970104166663</v>
      </c>
      <c r="B10" s="31" t="s">
        <v>20</v>
      </c>
      <c r="C10" s="32" t="s">
        <v>21</v>
      </c>
      <c r="D10" s="33">
        <v>500</v>
      </c>
      <c r="E10" s="34" t="s">
        <v>22</v>
      </c>
      <c r="F10" s="35" t="s">
        <v>23</v>
      </c>
    </row>
    <row r="11" spans="1:9" ht="18.75" hidden="1">
      <c r="A11" s="30">
        <v>46193.761076388888</v>
      </c>
      <c r="B11" s="31" t="s">
        <v>20</v>
      </c>
      <c r="C11" s="32" t="s">
        <v>21</v>
      </c>
      <c r="D11" s="33">
        <v>350</v>
      </c>
      <c r="E11" s="34" t="s">
        <v>22</v>
      </c>
      <c r="F11" s="35" t="s">
        <v>23</v>
      </c>
    </row>
    <row r="12" spans="1:9" ht="18.75" hidden="1">
      <c r="A12" s="30">
        <v>46192.982581018521</v>
      </c>
      <c r="B12" s="31" t="s">
        <v>20</v>
      </c>
      <c r="C12" s="32" t="s">
        <v>21</v>
      </c>
      <c r="D12" s="33">
        <v>400</v>
      </c>
      <c r="E12" s="34" t="s">
        <v>22</v>
      </c>
      <c r="F12" s="35" t="s">
        <v>23</v>
      </c>
    </row>
    <row r="13" spans="1:9" ht="18.75" hidden="1">
      <c r="A13" s="30">
        <v>46177.975173611114</v>
      </c>
      <c r="B13" s="31" t="s">
        <v>20</v>
      </c>
      <c r="C13" s="32" t="s">
        <v>21</v>
      </c>
      <c r="D13" s="33">
        <v>1000</v>
      </c>
      <c r="E13" s="34" t="s">
        <v>22</v>
      </c>
      <c r="F13" s="35" t="s">
        <v>23</v>
      </c>
    </row>
    <row r="14" spans="1:9" ht="18.75" hidden="1">
      <c r="A14" s="30">
        <v>46146.51226851852</v>
      </c>
      <c r="B14" s="31" t="s">
        <v>20</v>
      </c>
      <c r="C14" s="32" t="s">
        <v>21</v>
      </c>
      <c r="D14" s="33">
        <v>1000</v>
      </c>
      <c r="E14" s="34" t="s">
        <v>22</v>
      </c>
      <c r="F14" s="35" t="s">
        <v>23</v>
      </c>
    </row>
    <row r="15" spans="1:9" ht="18.75" hidden="1">
      <c r="A15" s="30">
        <v>46127.879340277781</v>
      </c>
      <c r="B15" s="31" t="s">
        <v>20</v>
      </c>
      <c r="C15" s="32" t="s">
        <v>21</v>
      </c>
      <c r="D15" s="33">
        <v>1000</v>
      </c>
      <c r="E15" s="34" t="s">
        <v>22</v>
      </c>
      <c r="F15" s="35" t="s">
        <v>23</v>
      </c>
    </row>
    <row r="16" spans="1:9" ht="18.75" hidden="1">
      <c r="A16" s="30">
        <v>46120.903645833336</v>
      </c>
      <c r="B16" s="31" t="s">
        <v>20</v>
      </c>
      <c r="C16" s="32" t="s">
        <v>21</v>
      </c>
      <c r="D16" s="33">
        <v>545</v>
      </c>
      <c r="E16" s="34" t="s">
        <v>22</v>
      </c>
      <c r="F16" s="35" t="s">
        <v>23</v>
      </c>
    </row>
    <row r="17" spans="1:6" ht="18.75" hidden="1">
      <c r="A17" s="30">
        <v>46101.345775462964</v>
      </c>
      <c r="B17" s="31" t="s">
        <v>20</v>
      </c>
      <c r="C17" s="32" t="s">
        <v>21</v>
      </c>
      <c r="D17" s="33">
        <v>578.59825899999998</v>
      </c>
      <c r="E17" s="34" t="s">
        <v>22</v>
      </c>
      <c r="F17" s="35" t="s">
        <v>23</v>
      </c>
    </row>
    <row r="18" spans="1:6" ht="18.75" hidden="1">
      <c r="A18" s="30">
        <v>46070.928865740738</v>
      </c>
      <c r="B18" s="31" t="s">
        <v>20</v>
      </c>
      <c r="C18" s="32" t="s">
        <v>21</v>
      </c>
      <c r="D18" s="33">
        <v>1000</v>
      </c>
      <c r="E18" s="34" t="s">
        <v>22</v>
      </c>
      <c r="F18" s="35" t="s">
        <v>23</v>
      </c>
    </row>
    <row r="19" spans="1:6" ht="18.75" hidden="1">
      <c r="A19" s="30">
        <v>46049.990451388891</v>
      </c>
      <c r="B19" s="31" t="s">
        <v>20</v>
      </c>
      <c r="C19" s="32" t="s">
        <v>21</v>
      </c>
      <c r="D19" s="33">
        <v>3179.5343360000002</v>
      </c>
      <c r="E19" s="34" t="s">
        <v>22</v>
      </c>
      <c r="F19" s="35" t="s">
        <v>23</v>
      </c>
    </row>
    <row r="20" spans="1:6" ht="18.75" hidden="1">
      <c r="A20" s="30">
        <v>46008.835995370369</v>
      </c>
      <c r="B20" s="31" t="s">
        <v>20</v>
      </c>
      <c r="C20" s="32" t="s">
        <v>21</v>
      </c>
      <c r="D20" s="33">
        <v>2542.938545</v>
      </c>
      <c r="E20" s="34" t="s">
        <v>22</v>
      </c>
      <c r="F20" s="35" t="s">
        <v>23</v>
      </c>
    </row>
    <row r="21" spans="1:6" ht="18.75" hidden="1">
      <c r="A21" s="30">
        <v>46008.830671296295</v>
      </c>
      <c r="B21" s="31" t="s">
        <v>20</v>
      </c>
      <c r="C21" s="32" t="s">
        <v>21</v>
      </c>
      <c r="D21" s="33">
        <v>4</v>
      </c>
      <c r="E21" s="34" t="s">
        <v>22</v>
      </c>
      <c r="F21" s="35" t="s">
        <v>23</v>
      </c>
    </row>
    <row r="22" spans="1:6" ht="45" hidden="1">
      <c r="A22" s="30">
        <v>45933.990555555552</v>
      </c>
      <c r="B22" s="31" t="s">
        <v>20</v>
      </c>
      <c r="C22" s="32" t="s">
        <v>21</v>
      </c>
      <c r="D22" s="33">
        <v>1642</v>
      </c>
      <c r="E22" s="34" t="s">
        <v>24</v>
      </c>
      <c r="F22" s="35" t="s">
        <v>23</v>
      </c>
    </row>
    <row r="23" spans="1:6" ht="30">
      <c r="A23" s="30">
        <v>45806.649745370371</v>
      </c>
      <c r="B23" s="31" t="s">
        <v>25</v>
      </c>
      <c r="C23" s="32" t="s">
        <v>26</v>
      </c>
      <c r="D23" s="33">
        <v>139970</v>
      </c>
      <c r="E23" s="34" t="s">
        <v>27</v>
      </c>
      <c r="F23" s="35" t="s">
        <v>23</v>
      </c>
    </row>
    <row r="24" spans="1:6" ht="30">
      <c r="A24" s="30">
        <v>45734.660879629628</v>
      </c>
      <c r="B24" s="31" t="s">
        <v>25</v>
      </c>
      <c r="C24" s="32" t="s">
        <v>26</v>
      </c>
      <c r="D24" s="33">
        <v>99494</v>
      </c>
      <c r="E24" s="34" t="s">
        <v>27</v>
      </c>
      <c r="F24" s="35" t="s">
        <v>23</v>
      </c>
    </row>
    <row r="25" spans="1:6" ht="30">
      <c r="A25" s="30">
        <v>45645.912928240738</v>
      </c>
      <c r="B25" s="31" t="s">
        <v>25</v>
      </c>
      <c r="C25" s="32" t="s">
        <v>26</v>
      </c>
      <c r="D25" s="33">
        <v>110000</v>
      </c>
      <c r="E25" s="34" t="s">
        <v>28</v>
      </c>
      <c r="F25" s="35" t="s">
        <v>23</v>
      </c>
    </row>
    <row r="26" spans="1:6" ht="18.75" hidden="1">
      <c r="A26" s="30">
        <v>45631.558263888888</v>
      </c>
      <c r="B26" s="31" t="s">
        <v>20</v>
      </c>
      <c r="C26" s="32" t="s">
        <v>21</v>
      </c>
      <c r="D26" s="33">
        <v>3066.73</v>
      </c>
      <c r="E26" s="34" t="s">
        <v>22</v>
      </c>
      <c r="F26" s="35" t="s">
        <v>23</v>
      </c>
    </row>
    <row r="27" spans="1:6" ht="18.75" hidden="1">
      <c r="A27" s="30">
        <v>45604.608437499999</v>
      </c>
      <c r="B27" s="31" t="s">
        <v>20</v>
      </c>
      <c r="C27" s="32" t="s">
        <v>21</v>
      </c>
      <c r="D27" s="33">
        <v>1552.32</v>
      </c>
      <c r="E27" s="34" t="s">
        <v>22</v>
      </c>
      <c r="F27" s="35" t="s">
        <v>23</v>
      </c>
    </row>
    <row r="28" spans="1:6" ht="18.75" hidden="1">
      <c r="A28" s="30">
        <v>45597.438078703701</v>
      </c>
      <c r="B28" s="31" t="s">
        <v>20</v>
      </c>
      <c r="C28" s="32" t="s">
        <v>21</v>
      </c>
      <c r="D28" s="33">
        <v>1554.09</v>
      </c>
      <c r="E28" s="34" t="s">
        <v>22</v>
      </c>
      <c r="F28" s="35" t="s">
        <v>23</v>
      </c>
    </row>
    <row r="29" spans="1:6" ht="18.75" hidden="1">
      <c r="A29" s="30">
        <v>45590.60665509259</v>
      </c>
      <c r="B29" s="31" t="s">
        <v>20</v>
      </c>
      <c r="C29" s="32" t="s">
        <v>21</v>
      </c>
      <c r="D29" s="33">
        <v>1551.35</v>
      </c>
      <c r="E29" s="34" t="s">
        <v>22</v>
      </c>
      <c r="F29" s="35" t="s">
        <v>23</v>
      </c>
    </row>
    <row r="30" spans="1:6" ht="18.75" hidden="1">
      <c r="A30" s="30">
        <v>45589.033460648148</v>
      </c>
      <c r="B30" s="31" t="s">
        <v>20</v>
      </c>
      <c r="C30" s="32" t="s">
        <v>21</v>
      </c>
      <c r="D30" s="33">
        <v>2904.5831499999999</v>
      </c>
      <c r="E30" s="34" t="s">
        <v>22</v>
      </c>
      <c r="F30" s="35" t="s">
        <v>23</v>
      </c>
    </row>
    <row r="31" spans="1:6" ht="18.75" hidden="1">
      <c r="A31" s="30">
        <v>45588.936944444446</v>
      </c>
      <c r="B31" s="31" t="s">
        <v>20</v>
      </c>
      <c r="C31" s="32" t="s">
        <v>21</v>
      </c>
      <c r="D31" s="33">
        <v>100</v>
      </c>
      <c r="E31" s="34" t="s">
        <v>22</v>
      </c>
      <c r="F31" s="35" t="s">
        <v>23</v>
      </c>
    </row>
    <row r="32" spans="1:6" ht="18.75" hidden="1">
      <c r="A32" s="30">
        <v>45588.86959490741</v>
      </c>
      <c r="B32" s="31" t="s">
        <v>20</v>
      </c>
      <c r="C32" s="32" t="s">
        <v>21</v>
      </c>
      <c r="D32" s="33">
        <v>100</v>
      </c>
      <c r="E32" s="34" t="s">
        <v>22</v>
      </c>
      <c r="F32" s="35" t="s">
        <v>23</v>
      </c>
    </row>
    <row r="33" spans="1:6" ht="30">
      <c r="A33" s="30">
        <v>45397.561388888891</v>
      </c>
      <c r="B33" s="31" t="s">
        <v>25</v>
      </c>
      <c r="C33" s="32" t="s">
        <v>26</v>
      </c>
      <c r="D33" s="33">
        <v>287357</v>
      </c>
      <c r="E33" s="34" t="s">
        <v>28</v>
      </c>
      <c r="F33" s="35" t="s">
        <v>23</v>
      </c>
    </row>
    <row r="34" spans="1:6" ht="30">
      <c r="A34" s="30">
        <v>44884.982199074075</v>
      </c>
      <c r="B34" s="31" t="s">
        <v>25</v>
      </c>
      <c r="C34" s="32" t="s">
        <v>26</v>
      </c>
      <c r="D34" s="33">
        <v>63247</v>
      </c>
      <c r="E34" s="34" t="s">
        <v>28</v>
      </c>
      <c r="F34" s="35" t="s">
        <v>23</v>
      </c>
    </row>
    <row r="35" spans="1:6" ht="30">
      <c r="A35" s="30">
        <v>44875.555034722223</v>
      </c>
      <c r="B35" s="31" t="s">
        <v>25</v>
      </c>
      <c r="C35" s="32" t="s">
        <v>26</v>
      </c>
      <c r="D35" s="33">
        <v>32081</v>
      </c>
      <c r="E35" s="34" t="s">
        <v>28</v>
      </c>
      <c r="F35" s="35" t="s">
        <v>23</v>
      </c>
    </row>
    <row r="36" spans="1:6" ht="30">
      <c r="A36" s="30">
        <v>44875.357175925928</v>
      </c>
      <c r="B36" s="31" t="s">
        <v>25</v>
      </c>
      <c r="C36" s="32" t="s">
        <v>26</v>
      </c>
      <c r="D36" s="33">
        <v>120352</v>
      </c>
      <c r="E36" s="34" t="s">
        <v>28</v>
      </c>
      <c r="F36" s="35" t="s">
        <v>23</v>
      </c>
    </row>
    <row r="37" spans="1:6" ht="18.75" hidden="1">
      <c r="A37" s="30">
        <v>44558.546238425923</v>
      </c>
      <c r="B37" s="31" t="s">
        <v>20</v>
      </c>
      <c r="C37" s="32" t="s">
        <v>29</v>
      </c>
      <c r="D37" s="33">
        <v>1000</v>
      </c>
      <c r="E37" s="34" t="s">
        <v>22</v>
      </c>
      <c r="F37" s="35" t="s">
        <v>23</v>
      </c>
    </row>
    <row r="38" spans="1:6" ht="18.75" hidden="1">
      <c r="A38" s="30">
        <v>44547.542812500003</v>
      </c>
      <c r="B38" s="31" t="s">
        <v>20</v>
      </c>
      <c r="C38" s="32" t="s">
        <v>29</v>
      </c>
      <c r="D38" s="33">
        <v>1000</v>
      </c>
      <c r="E38" s="34" t="s">
        <v>22</v>
      </c>
      <c r="F38" s="35" t="s">
        <v>23</v>
      </c>
    </row>
    <row r="39" spans="1:6" ht="18.75" hidden="1">
      <c r="A39" s="30">
        <v>44547.537048611113</v>
      </c>
      <c r="B39" s="31" t="s">
        <v>20</v>
      </c>
      <c r="C39" s="32" t="s">
        <v>29</v>
      </c>
      <c r="D39" s="33">
        <v>500</v>
      </c>
      <c r="E39" s="34" t="s">
        <v>22</v>
      </c>
      <c r="F39" s="35" t="s">
        <v>23</v>
      </c>
    </row>
    <row r="40" spans="1:6" ht="18.75" hidden="1">
      <c r="A40" s="30">
        <v>44546.792222222219</v>
      </c>
      <c r="B40" s="31" t="s">
        <v>20</v>
      </c>
      <c r="C40" s="32" t="s">
        <v>29</v>
      </c>
      <c r="D40" s="33">
        <v>500</v>
      </c>
      <c r="E40" s="34" t="s">
        <v>22</v>
      </c>
      <c r="F40" s="35" t="s">
        <v>23</v>
      </c>
    </row>
    <row r="41" spans="1:6" ht="18.75" hidden="1">
      <c r="A41" s="30">
        <v>44530.411238425928</v>
      </c>
      <c r="B41" s="31" t="s">
        <v>20</v>
      </c>
      <c r="C41" s="32" t="s">
        <v>29</v>
      </c>
      <c r="D41" s="33">
        <v>500</v>
      </c>
      <c r="E41" s="34" t="s">
        <v>22</v>
      </c>
      <c r="F41" s="35" t="s">
        <v>23</v>
      </c>
    </row>
    <row r="42" spans="1:6" ht="18.75" hidden="1">
      <c r="A42" s="30">
        <v>44520.470729166664</v>
      </c>
      <c r="B42" s="31" t="s">
        <v>20</v>
      </c>
      <c r="C42" s="32" t="s">
        <v>29</v>
      </c>
      <c r="D42" s="33">
        <v>500</v>
      </c>
      <c r="E42" s="34" t="s">
        <v>22</v>
      </c>
      <c r="F42" s="35" t="s">
        <v>23</v>
      </c>
    </row>
    <row r="43" spans="1:6" ht="18.75" hidden="1">
      <c r="A43" s="30">
        <v>44498.40693287037</v>
      </c>
      <c r="B43" s="31" t="s">
        <v>20</v>
      </c>
      <c r="C43" s="32" t="s">
        <v>29</v>
      </c>
      <c r="D43" s="33">
        <v>832</v>
      </c>
      <c r="E43" s="34" t="s">
        <v>22</v>
      </c>
      <c r="F43" s="35" t="s">
        <v>23</v>
      </c>
    </row>
    <row r="44" spans="1:6" ht="18.75" hidden="1">
      <c r="A44" s="30">
        <v>44448.523217592592</v>
      </c>
      <c r="B44" s="31" t="s">
        <v>20</v>
      </c>
      <c r="C44" s="32" t="s">
        <v>29</v>
      </c>
      <c r="D44" s="33">
        <v>200</v>
      </c>
      <c r="E44" s="34" t="s">
        <v>22</v>
      </c>
      <c r="F44" s="35" t="s">
        <v>23</v>
      </c>
    </row>
    <row r="45" spans="1:6" ht="18.75" hidden="1">
      <c r="A45" s="30">
        <v>44447.567650462966</v>
      </c>
      <c r="B45" s="31" t="s">
        <v>20</v>
      </c>
      <c r="C45" s="32" t="s">
        <v>29</v>
      </c>
      <c r="D45" s="33">
        <v>500</v>
      </c>
      <c r="E45" s="34" t="s">
        <v>22</v>
      </c>
      <c r="F45" s="35" t="s">
        <v>23</v>
      </c>
    </row>
    <row r="46" spans="1:6" ht="18.75" hidden="1">
      <c r="A46" s="30">
        <v>44446.968124999999</v>
      </c>
      <c r="B46" s="31" t="s">
        <v>20</v>
      </c>
      <c r="C46" s="32" t="s">
        <v>29</v>
      </c>
      <c r="D46" s="33">
        <v>500</v>
      </c>
      <c r="E46" s="34" t="s">
        <v>22</v>
      </c>
      <c r="F46" s="35" t="s">
        <v>23</v>
      </c>
    </row>
    <row r="47" spans="1:6" ht="18.75" hidden="1">
      <c r="A47" s="30">
        <v>44441.411828703705</v>
      </c>
      <c r="B47" s="31" t="s">
        <v>20</v>
      </c>
      <c r="C47" s="32" t="s">
        <v>29</v>
      </c>
      <c r="D47" s="33">
        <v>500</v>
      </c>
      <c r="E47" s="34" t="s">
        <v>22</v>
      </c>
      <c r="F47" s="35" t="s">
        <v>23</v>
      </c>
    </row>
    <row r="48" spans="1:6" ht="18.75" hidden="1">
      <c r="A48" s="30">
        <v>44440.594502314816</v>
      </c>
      <c r="B48" s="31" t="s">
        <v>20</v>
      </c>
      <c r="C48" s="32" t="s">
        <v>29</v>
      </c>
      <c r="D48" s="33">
        <v>500</v>
      </c>
      <c r="E48" s="34" t="s">
        <v>22</v>
      </c>
      <c r="F48" s="35" t="s">
        <v>23</v>
      </c>
    </row>
    <row r="49" spans="1:6" ht="18.75" hidden="1">
      <c r="A49" s="30">
        <v>44433.465856481482</v>
      </c>
      <c r="B49" s="31" t="s">
        <v>20</v>
      </c>
      <c r="C49" s="32" t="s">
        <v>29</v>
      </c>
      <c r="D49" s="33">
        <v>500</v>
      </c>
      <c r="E49" s="34" t="s">
        <v>22</v>
      </c>
      <c r="F49" s="35" t="s">
        <v>23</v>
      </c>
    </row>
    <row r="50" spans="1:6" ht="18.75" hidden="1">
      <c r="A50" s="30">
        <v>44431.449317129627</v>
      </c>
      <c r="B50" s="31" t="s">
        <v>20</v>
      </c>
      <c r="C50" s="32" t="s">
        <v>29</v>
      </c>
      <c r="D50" s="33">
        <v>500</v>
      </c>
      <c r="E50" s="34" t="s">
        <v>22</v>
      </c>
      <c r="F50" s="35" t="s">
        <v>23</v>
      </c>
    </row>
    <row r="51" spans="1:6" ht="18.75" hidden="1">
      <c r="A51" s="30">
        <v>44426.957094907404</v>
      </c>
      <c r="B51" s="31" t="s">
        <v>20</v>
      </c>
      <c r="C51" s="32" t="s">
        <v>29</v>
      </c>
      <c r="D51" s="33">
        <v>400</v>
      </c>
      <c r="E51" s="34" t="s">
        <v>22</v>
      </c>
      <c r="F51" s="35" t="s">
        <v>23</v>
      </c>
    </row>
    <row r="52" spans="1:6" ht="18.75" hidden="1">
      <c r="A52" s="30">
        <v>44425.823171296295</v>
      </c>
      <c r="B52" s="31" t="s">
        <v>20</v>
      </c>
      <c r="C52" s="32" t="s">
        <v>29</v>
      </c>
      <c r="D52" s="33">
        <v>400</v>
      </c>
      <c r="E52" s="34" t="s">
        <v>22</v>
      </c>
      <c r="F52" s="35" t="s">
        <v>23</v>
      </c>
    </row>
    <row r="53" spans="1:6" ht="18.75" hidden="1">
      <c r="A53" s="30">
        <v>44425.510995370372</v>
      </c>
      <c r="B53" s="31" t="s">
        <v>20</v>
      </c>
      <c r="C53" s="32" t="s">
        <v>29</v>
      </c>
      <c r="D53" s="33">
        <v>500</v>
      </c>
      <c r="E53" s="34" t="s">
        <v>22</v>
      </c>
      <c r="F53" s="35" t="s">
        <v>23</v>
      </c>
    </row>
    <row r="54" spans="1:6" ht="18.75" hidden="1">
      <c r="A54" s="30">
        <v>44420.605821759258</v>
      </c>
      <c r="B54" s="31" t="s">
        <v>20</v>
      </c>
      <c r="C54" s="32" t="s">
        <v>29</v>
      </c>
      <c r="D54" s="33">
        <v>500</v>
      </c>
      <c r="E54" s="34" t="s">
        <v>22</v>
      </c>
      <c r="F54" s="35" t="s">
        <v>23</v>
      </c>
    </row>
    <row r="55" spans="1:6" ht="18.75" hidden="1">
      <c r="A55" s="30">
        <v>44417.901273148149</v>
      </c>
      <c r="B55" s="31" t="s">
        <v>20</v>
      </c>
      <c r="C55" s="32" t="s">
        <v>29</v>
      </c>
      <c r="D55" s="33">
        <v>400</v>
      </c>
      <c r="E55" s="34" t="s">
        <v>22</v>
      </c>
      <c r="F55" s="35" t="s">
        <v>23</v>
      </c>
    </row>
    <row r="56" spans="1:6" ht="18.75" hidden="1">
      <c r="A56" s="30">
        <v>44416.936273148145</v>
      </c>
      <c r="B56" s="31" t="s">
        <v>20</v>
      </c>
      <c r="C56" s="32" t="s">
        <v>29</v>
      </c>
      <c r="D56" s="33">
        <v>400</v>
      </c>
      <c r="E56" s="34" t="s">
        <v>22</v>
      </c>
      <c r="F56" s="35" t="s">
        <v>23</v>
      </c>
    </row>
    <row r="57" spans="1:6" ht="18.75" hidden="1">
      <c r="A57" s="30">
        <v>44415.746724537035</v>
      </c>
      <c r="B57" s="31" t="s">
        <v>20</v>
      </c>
      <c r="C57" s="32" t="s">
        <v>29</v>
      </c>
      <c r="D57" s="33">
        <v>400</v>
      </c>
      <c r="E57" s="34" t="s">
        <v>22</v>
      </c>
      <c r="F57" s="35" t="s">
        <v>23</v>
      </c>
    </row>
    <row r="58" spans="1:6" ht="18.75" hidden="1">
      <c r="A58" s="30">
        <v>44414.508402777778</v>
      </c>
      <c r="B58" s="31" t="s">
        <v>20</v>
      </c>
      <c r="C58" s="32" t="s">
        <v>29</v>
      </c>
      <c r="D58" s="33">
        <v>100</v>
      </c>
      <c r="E58" s="34" t="s">
        <v>22</v>
      </c>
      <c r="F58" s="35" t="s">
        <v>23</v>
      </c>
    </row>
    <row r="59" spans="1:6" ht="18.75" hidden="1">
      <c r="A59" s="30">
        <v>44410.024560185186</v>
      </c>
      <c r="B59" s="31" t="s">
        <v>20</v>
      </c>
      <c r="C59" s="32" t="s">
        <v>29</v>
      </c>
      <c r="D59" s="33">
        <v>818</v>
      </c>
      <c r="E59" s="34" t="s">
        <v>22</v>
      </c>
      <c r="F59" s="35" t="s">
        <v>23</v>
      </c>
    </row>
    <row r="60" spans="1:6" ht="18.75" hidden="1">
      <c r="A60" s="30">
        <v>44408.921909722223</v>
      </c>
      <c r="B60" s="31" t="s">
        <v>20</v>
      </c>
      <c r="C60" s="32" t="s">
        <v>29</v>
      </c>
      <c r="D60" s="33">
        <v>1000</v>
      </c>
      <c r="E60" s="34" t="s">
        <v>22</v>
      </c>
      <c r="F60" s="35" t="s">
        <v>23</v>
      </c>
    </row>
    <row r="61" spans="1:6" ht="18.75" hidden="1">
      <c r="A61" s="30">
        <v>44405.36515046296</v>
      </c>
      <c r="B61" s="31" t="s">
        <v>20</v>
      </c>
      <c r="C61" s="32" t="s">
        <v>29</v>
      </c>
      <c r="D61" s="33">
        <v>1000</v>
      </c>
      <c r="E61" s="34" t="s">
        <v>22</v>
      </c>
      <c r="F61" s="35" t="s">
        <v>23</v>
      </c>
    </row>
    <row r="62" spans="1:6" ht="18.75" hidden="1">
      <c r="A62" s="30">
        <v>44403.672546296293</v>
      </c>
      <c r="B62" s="31" t="s">
        <v>20</v>
      </c>
      <c r="C62" s="32" t="s">
        <v>29</v>
      </c>
      <c r="D62" s="33">
        <v>40</v>
      </c>
      <c r="E62" s="34" t="s">
        <v>22</v>
      </c>
      <c r="F62" s="35" t="s">
        <v>23</v>
      </c>
    </row>
    <row r="63" spans="1:6" ht="30">
      <c r="A63" s="30">
        <v>44390.46497685185</v>
      </c>
      <c r="B63" s="31" t="s">
        <v>25</v>
      </c>
      <c r="C63" s="32" t="s">
        <v>26</v>
      </c>
      <c r="D63" s="33">
        <v>50000</v>
      </c>
      <c r="E63" s="34" t="s">
        <v>28</v>
      </c>
      <c r="F63" s="35" t="s">
        <v>23</v>
      </c>
    </row>
    <row r="64" spans="1:6" ht="18.75" hidden="1">
      <c r="A64" s="30">
        <v>44327.797974537039</v>
      </c>
      <c r="B64" s="31" t="s">
        <v>20</v>
      </c>
      <c r="C64" s="32" t="s">
        <v>29</v>
      </c>
      <c r="D64" s="33">
        <v>150</v>
      </c>
      <c r="E64" s="34" t="s">
        <v>22</v>
      </c>
      <c r="F64" s="35" t="s">
        <v>23</v>
      </c>
    </row>
    <row r="65" spans="1:6" ht="18.75" hidden="1">
      <c r="A65" s="30">
        <v>44327.794861111113</v>
      </c>
      <c r="B65" s="31" t="s">
        <v>20</v>
      </c>
      <c r="C65" s="32" t="s">
        <v>29</v>
      </c>
      <c r="D65" s="33">
        <v>150</v>
      </c>
      <c r="E65" s="34" t="s">
        <v>22</v>
      </c>
      <c r="F65" s="35" t="s">
        <v>23</v>
      </c>
    </row>
    <row r="66" spans="1:6" ht="18.75" hidden="1">
      <c r="A66" s="30">
        <v>44326.440717592595</v>
      </c>
      <c r="B66" s="31" t="s">
        <v>20</v>
      </c>
      <c r="C66" s="32" t="s">
        <v>29</v>
      </c>
      <c r="D66" s="33">
        <v>100</v>
      </c>
      <c r="E66" s="34" t="s">
        <v>22</v>
      </c>
      <c r="F66" s="35" t="s">
        <v>23</v>
      </c>
    </row>
    <row r="67" spans="1:6" ht="18.75" hidden="1">
      <c r="A67" s="30">
        <v>44320.126516203702</v>
      </c>
      <c r="B67" s="31" t="s">
        <v>20</v>
      </c>
      <c r="C67" s="32" t="s">
        <v>29</v>
      </c>
      <c r="D67" s="33">
        <v>30</v>
      </c>
      <c r="E67" s="34" t="s">
        <v>30</v>
      </c>
      <c r="F67" s="35" t="s">
        <v>23</v>
      </c>
    </row>
    <row r="68" spans="1:6" ht="30" hidden="1">
      <c r="A68" s="30">
        <v>44317.78398148148</v>
      </c>
      <c r="B68" s="31" t="s">
        <v>20</v>
      </c>
      <c r="C68" s="32" t="s">
        <v>31</v>
      </c>
      <c r="D68" s="33">
        <v>480</v>
      </c>
      <c r="E68" s="34" t="s">
        <v>32</v>
      </c>
      <c r="F68" s="35" t="s">
        <v>23</v>
      </c>
    </row>
  </sheetData>
  <autoFilter ref="A1:F68" xr:uid="{5A40BBE4-3193-4870-B18E-72FB6856C18E}">
    <filterColumn colId="1">
      <filters>
        <filter val="TWD"/>
      </filters>
    </filterColumn>
  </autoFilter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2584-F69E-473C-8B04-C8A173B2E6D4}">
  <dimension ref="A1:G2"/>
  <sheetViews>
    <sheetView tabSelected="1" workbookViewId="0">
      <selection activeCell="M11" sqref="M11"/>
    </sheetView>
  </sheetViews>
  <sheetFormatPr defaultRowHeight="15.75"/>
  <cols>
    <col min="2" max="2" width="10.7109375" bestFit="1" customWidth="1"/>
    <col min="3" max="3" width="11.7109375" bestFit="1" customWidth="1"/>
    <col min="4" max="4" width="11" customWidth="1"/>
    <col min="5" max="5" width="10.140625" bestFit="1" customWidth="1"/>
    <col min="7" max="7" width="15.85546875" bestFit="1" customWidth="1"/>
  </cols>
  <sheetData>
    <row r="1" spans="1:7">
      <c r="B1" t="s">
        <v>35</v>
      </c>
      <c r="C1" t="s">
        <v>36</v>
      </c>
      <c r="D1" t="s">
        <v>37</v>
      </c>
      <c r="E1" t="s">
        <v>34</v>
      </c>
      <c r="G1" t="s">
        <v>38</v>
      </c>
    </row>
    <row r="2" spans="1:7">
      <c r="A2" t="s">
        <v>34</v>
      </c>
      <c r="B2" s="16">
        <f>Input_final!H1</f>
        <v>1630000</v>
      </c>
      <c r="C2">
        <f>output_final!I1</f>
        <v>902501</v>
      </c>
      <c r="D2">
        <v>394011</v>
      </c>
      <c r="E2" s="36">
        <f>D2+C2-B2</f>
        <v>-333488</v>
      </c>
      <c r="G2" t="s">
        <v>39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input_original</vt:lpstr>
      <vt:lpstr>Input_final</vt:lpstr>
      <vt:lpstr>output_original</vt:lpstr>
      <vt:lpstr>output_final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蔡Alan</dc:creator>
  <cp:lastModifiedBy>輔安 蔡</cp:lastModifiedBy>
  <dcterms:created xsi:type="dcterms:W3CDTF">2015-06-05T18:17:20Z</dcterms:created>
  <dcterms:modified xsi:type="dcterms:W3CDTF">2026-07-09T16:58:05Z</dcterms:modified>
</cp:coreProperties>
</file>